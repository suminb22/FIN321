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uminbaik/Desktop/FIN 321/"/>
    </mc:Choice>
  </mc:AlternateContent>
  <xr:revisionPtr revIDLastSave="0" documentId="8_{D44DED58-CAEC-A447-A367-1C4DE7E8ED85}" xr6:coauthVersionLast="47" xr6:coauthVersionMax="47" xr10:uidLastSave="{00000000-0000-0000-0000-000000000000}"/>
  <bookViews>
    <workbookView xWindow="-36160" yWindow="-320" windowWidth="29400" windowHeight="18380" xr2:uid="{00000000-000D-0000-FFFF-FFFF00000000}"/>
  </bookViews>
  <sheets>
    <sheet name="Transaction Hedging (Receivable" sheetId="1" r:id="rId1"/>
    <sheet name="Transaction Hedging (Payables)" sheetId="2" r:id="rId2"/>
    <sheet name="Notes &amp; Assumption" sheetId="3" r:id="rId3"/>
  </sheets>
  <definedNames>
    <definedName name="call_price">'Transaction Hedging (Payables)'!$F$15</definedName>
    <definedName name="call_strike">'Transaction Hedging (Payables)'!$F$14</definedName>
    <definedName name="contract_notional_value_payable">'Transaction Hedging (Payables)'!$F$6</definedName>
    <definedName name="current_spot_price_payable">'Transaction Hedging (Payables)'!$F$7</definedName>
    <definedName name="for_GBPUSD">'Transaction Hedging (Receivable'!$F$12</definedName>
    <definedName name="forward_price_payable">'Transaction Hedging (Payables)'!$F$12</definedName>
    <definedName name="future_spot_price_payable">'Transaction Hedging (Payables)'!$C$35:$C$47</definedName>
    <definedName name="fv_put_outlay">'Transaction Hedging (Receivable'!$F$28</definedName>
    <definedName name="gbpusd_1y_scenario">'Transaction Hedging (Receivable'!$C$33:$C$45</definedName>
    <definedName name="hedge_no">'Transaction Hedging (Receivable'!$D$33:$D$45</definedName>
    <definedName name="named_range">'Transaction Hedging (Payables)'!$G$15</definedName>
    <definedName name="put_price">'Transaction Hedging (Receivable'!$F$15</definedName>
    <definedName name="rate_uk_1y_payable">'Transaction Hedging (Payables)'!$F$10</definedName>
    <definedName name="rate_us_1y_payable">'Transaction Hedging (Payables)'!$F$9</definedName>
    <definedName name="recievable">'Transaction Hedging (Receivable'!$F$6</definedName>
    <definedName name="x_put">'Transaction Hedging (Receivable'!$F$14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28" i="1" s="1"/>
  <c r="F21" i="1"/>
  <c r="F22" i="1"/>
  <c r="F23" i="1" s="1"/>
  <c r="F24" i="1" s="1"/>
  <c r="G27" i="1"/>
  <c r="F18" i="1"/>
  <c r="C41" i="2"/>
  <c r="F29" i="2"/>
  <c r="F30" i="2" s="1"/>
  <c r="F21" i="2"/>
  <c r="F22" i="2" s="1"/>
  <c r="F18" i="2"/>
  <c r="F14" i="2"/>
  <c r="C40" i="1"/>
  <c r="H39" i="1"/>
  <c r="D39" i="1"/>
  <c r="C38" i="1"/>
  <c r="C37" i="1"/>
  <c r="D40" i="1" l="1"/>
  <c r="H40" i="1"/>
  <c r="C41" i="1"/>
  <c r="H38" i="1"/>
  <c r="D38" i="1"/>
  <c r="D41" i="2"/>
  <c r="C40" i="2"/>
  <c r="C42" i="2"/>
  <c r="H41" i="2"/>
  <c r="J41" i="2"/>
  <c r="J42" i="2"/>
  <c r="J40" i="2"/>
  <c r="F23" i="2"/>
  <c r="F24" i="2" s="1"/>
  <c r="F25" i="2"/>
  <c r="F26" i="2" s="1"/>
  <c r="C42" i="1"/>
  <c r="H41" i="1"/>
  <c r="D41" i="1"/>
  <c r="I41" i="1" s="1"/>
  <c r="E40" i="1"/>
  <c r="E39" i="1"/>
  <c r="E38" i="1"/>
  <c r="H37" i="1"/>
  <c r="D37" i="1"/>
  <c r="I37" i="1" s="1"/>
  <c r="C36" i="1"/>
  <c r="J36" i="1"/>
  <c r="J37" i="1"/>
  <c r="J39" i="1"/>
  <c r="G39" i="1" s="1"/>
  <c r="J38" i="1"/>
  <c r="G38" i="1" s="1"/>
  <c r="J40" i="1"/>
  <c r="G40" i="1" s="1"/>
  <c r="J41" i="1"/>
  <c r="J42" i="1"/>
  <c r="F36" i="1"/>
  <c r="F37" i="1"/>
  <c r="F38" i="1"/>
  <c r="I38" i="1"/>
  <c r="F39" i="1"/>
  <c r="I39" i="1"/>
  <c r="F40" i="1"/>
  <c r="I40" i="1"/>
  <c r="F41" i="1"/>
  <c r="F42" i="1"/>
  <c r="F43" i="1"/>
  <c r="F44" i="1"/>
  <c r="F45" i="1"/>
  <c r="F33" i="1"/>
  <c r="F34" i="1"/>
  <c r="F35" i="1"/>
  <c r="E41" i="2" l="1"/>
  <c r="G41" i="2"/>
  <c r="C39" i="2"/>
  <c r="H40" i="2"/>
  <c r="D40" i="2"/>
  <c r="I40" i="2" s="1"/>
  <c r="C43" i="2"/>
  <c r="H42" i="2"/>
  <c r="D42" i="2"/>
  <c r="I42" i="2" s="1"/>
  <c r="F41" i="2"/>
  <c r="I41" i="2"/>
  <c r="F39" i="2"/>
  <c r="F40" i="2"/>
  <c r="F43" i="2"/>
  <c r="F37" i="2"/>
  <c r="F38" i="2"/>
  <c r="F44" i="2"/>
  <c r="F45" i="2"/>
  <c r="F47" i="2"/>
  <c r="F36" i="2"/>
  <c r="F46" i="2"/>
  <c r="F35" i="2"/>
  <c r="F42" i="2"/>
  <c r="D42" i="1"/>
  <c r="H42" i="1"/>
  <c r="C43" i="1"/>
  <c r="E41" i="1"/>
  <c r="G41" i="1"/>
  <c r="K40" i="1"/>
  <c r="L40" i="1"/>
  <c r="K39" i="1"/>
  <c r="L39" i="1"/>
  <c r="K38" i="1"/>
  <c r="L38" i="1"/>
  <c r="E37" i="1"/>
  <c r="G37" i="1"/>
  <c r="D36" i="1"/>
  <c r="H36" i="1"/>
  <c r="C35" i="1"/>
  <c r="L41" i="2" l="1"/>
  <c r="K41" i="2"/>
  <c r="J39" i="2"/>
  <c r="H39" i="2"/>
  <c r="D39" i="2"/>
  <c r="C38" i="2"/>
  <c r="E40" i="2"/>
  <c r="G40" i="2"/>
  <c r="J43" i="2"/>
  <c r="H43" i="2"/>
  <c r="C44" i="2"/>
  <c r="D43" i="2"/>
  <c r="E42" i="2"/>
  <c r="G42" i="2"/>
  <c r="I42" i="1"/>
  <c r="E42" i="1"/>
  <c r="G42" i="1"/>
  <c r="J43" i="1"/>
  <c r="D43" i="1"/>
  <c r="H43" i="1"/>
  <c r="C44" i="1"/>
  <c r="K41" i="1"/>
  <c r="L41" i="1"/>
  <c r="K37" i="1"/>
  <c r="L37" i="1"/>
  <c r="I36" i="1"/>
  <c r="E36" i="1"/>
  <c r="G36" i="1"/>
  <c r="J35" i="1"/>
  <c r="H35" i="1"/>
  <c r="C34" i="1"/>
  <c r="D35" i="1"/>
  <c r="I39" i="2" l="1"/>
  <c r="E39" i="2"/>
  <c r="G39" i="2"/>
  <c r="J38" i="2"/>
  <c r="H38" i="2"/>
  <c r="D38" i="2"/>
  <c r="C37" i="2"/>
  <c r="K40" i="2"/>
  <c r="L40" i="2"/>
  <c r="J44" i="2"/>
  <c r="D44" i="2"/>
  <c r="H44" i="2"/>
  <c r="C45" i="2"/>
  <c r="I43" i="2"/>
  <c r="G43" i="2"/>
  <c r="E43" i="2"/>
  <c r="K42" i="2"/>
  <c r="L42" i="2"/>
  <c r="K42" i="1"/>
  <c r="L42" i="1"/>
  <c r="I43" i="1"/>
  <c r="E43" i="1"/>
  <c r="G43" i="1"/>
  <c r="J44" i="1"/>
  <c r="D44" i="1"/>
  <c r="C45" i="1"/>
  <c r="H44" i="1"/>
  <c r="K36" i="1"/>
  <c r="L36" i="1"/>
  <c r="J34" i="1"/>
  <c r="D34" i="1"/>
  <c r="H34" i="1"/>
  <c r="C33" i="1"/>
  <c r="I35" i="1"/>
  <c r="E35" i="1"/>
  <c r="G35" i="1"/>
  <c r="K39" i="2" l="1"/>
  <c r="L39" i="2"/>
  <c r="I38" i="2"/>
  <c r="E38" i="2"/>
  <c r="G38" i="2"/>
  <c r="J37" i="2"/>
  <c r="H37" i="2"/>
  <c r="D37" i="2"/>
  <c r="C36" i="2"/>
  <c r="I44" i="2"/>
  <c r="E44" i="2"/>
  <c r="G44" i="2"/>
  <c r="J45" i="2"/>
  <c r="H45" i="2"/>
  <c r="C46" i="2"/>
  <c r="D45" i="2"/>
  <c r="K43" i="2"/>
  <c r="L43" i="2"/>
  <c r="K43" i="1"/>
  <c r="L43" i="1"/>
  <c r="I44" i="1"/>
  <c r="E44" i="1"/>
  <c r="G44" i="1"/>
  <c r="J45" i="1"/>
  <c r="D45" i="1"/>
  <c r="H45" i="1"/>
  <c r="I34" i="1"/>
  <c r="E34" i="1"/>
  <c r="G34" i="1"/>
  <c r="J33" i="1"/>
  <c r="H33" i="1"/>
  <c r="D33" i="1"/>
  <c r="K35" i="1"/>
  <c r="L35" i="1"/>
  <c r="G33" i="1" l="1"/>
  <c r="F29" i="1" s="1"/>
  <c r="L38" i="2"/>
  <c r="K38" i="2"/>
  <c r="I37" i="2"/>
  <c r="E37" i="2"/>
  <c r="G37" i="2"/>
  <c r="J36" i="2"/>
  <c r="D36" i="2"/>
  <c r="H36" i="2"/>
  <c r="C35" i="2"/>
  <c r="K44" i="2"/>
  <c r="L44" i="2"/>
  <c r="J46" i="2"/>
  <c r="D46" i="2"/>
  <c r="H46" i="2"/>
  <c r="C47" i="2"/>
  <c r="I45" i="2"/>
  <c r="E45" i="2"/>
  <c r="G45" i="2"/>
  <c r="L44" i="1"/>
  <c r="K44" i="1"/>
  <c r="I45" i="1"/>
  <c r="G45" i="1"/>
  <c r="E45" i="1"/>
  <c r="L34" i="1"/>
  <c r="K34" i="1"/>
  <c r="I33" i="1"/>
  <c r="E33" i="1"/>
  <c r="L37" i="2" l="1"/>
  <c r="K37" i="2"/>
  <c r="I36" i="2"/>
  <c r="G36" i="2"/>
  <c r="E36" i="2"/>
  <c r="J35" i="2"/>
  <c r="D35" i="2"/>
  <c r="H35" i="2"/>
  <c r="I46" i="2"/>
  <c r="E46" i="2"/>
  <c r="G46" i="2"/>
  <c r="J47" i="2"/>
  <c r="D47" i="2"/>
  <c r="H47" i="2"/>
  <c r="K45" i="2"/>
  <c r="L45" i="2"/>
  <c r="K45" i="1"/>
  <c r="L45" i="1"/>
  <c r="K33" i="1"/>
  <c r="L33" i="1"/>
  <c r="L36" i="2" l="1"/>
  <c r="K36" i="2"/>
  <c r="I35" i="2"/>
  <c r="E35" i="2"/>
  <c r="G35" i="2"/>
  <c r="F31" i="2" s="1"/>
  <c r="K46" i="2"/>
  <c r="L46" i="2"/>
  <c r="I47" i="2"/>
  <c r="E47" i="2"/>
  <c r="G47" i="2"/>
  <c r="K35" i="2" l="1"/>
  <c r="L35" i="2"/>
  <c r="K47" i="2"/>
  <c r="L47" i="2"/>
</calcChain>
</file>

<file path=xl/sharedStrings.xml><?xml version="1.0" encoding="utf-8"?>
<sst xmlns="http://schemas.openxmlformats.org/spreadsheetml/2006/main" count="105" uniqueCount="65">
  <si>
    <r>
      <rPr>
        <b/>
        <sz val="18"/>
        <color theme="1"/>
        <rFont val="Arial"/>
        <family val="2"/>
      </rPr>
      <t xml:space="preserve">Hedging Foreign Currency </t>
    </r>
    <r>
      <rPr>
        <b/>
        <u/>
        <sz val="18"/>
        <color theme="1"/>
        <rFont val="Arial"/>
        <family val="2"/>
      </rPr>
      <t>Receivables</t>
    </r>
  </si>
  <si>
    <r>
      <rPr>
        <sz val="18"/>
        <color theme="1"/>
        <rFont val="Arial"/>
        <family val="2"/>
      </rPr>
      <t xml:space="preserve">Suppose Boeing Corporation exported a landing gear of Boeing 737 aircraft to British Airways and billed £10 million </t>
    </r>
    <r>
      <rPr>
        <b/>
        <sz val="18"/>
        <color theme="1"/>
        <rFont val="Arial"/>
        <family val="2"/>
      </rPr>
      <t xml:space="preserve">receivable in one year.
</t>
    </r>
  </si>
  <si>
    <t>Given</t>
  </si>
  <si>
    <t xml:space="preserve">Variables </t>
  </si>
  <si>
    <t>Key</t>
  </si>
  <si>
    <t>1-Year Receivable</t>
  </si>
  <si>
    <t>Editable</t>
  </si>
  <si>
    <t>Current GBP/USD Spot Exchange Rate</t>
  </si>
  <si>
    <t>Outcome</t>
  </si>
  <si>
    <t>Money Market</t>
  </si>
  <si>
    <t>Formulas</t>
  </si>
  <si>
    <t>U.S. 1-Year Interest Rate (domestic)</t>
  </si>
  <si>
    <t>U.K. 1-Year Interest Rate (foreign)</t>
  </si>
  <si>
    <t>&lt;--what if 8% TIME PERMITTING</t>
  </si>
  <si>
    <t>Forwards</t>
  </si>
  <si>
    <t>GBP/USD 1-Year Forward Exchange Rate</t>
  </si>
  <si>
    <t>Options</t>
  </si>
  <si>
    <t>GBP/USD Put Strike Price</t>
  </si>
  <si>
    <t>GBP/USD Put Price</t>
  </si>
  <si>
    <t>1. Forward Hedge</t>
  </si>
  <si>
    <r>
      <rPr>
        <sz val="18"/>
        <color theme="1"/>
        <rFont val="Arial"/>
        <family val="2"/>
      </rPr>
      <t xml:space="preserve">[a] </t>
    </r>
    <r>
      <rPr>
        <b/>
        <sz val="18"/>
        <color theme="1"/>
        <rFont val="Arial"/>
        <family val="2"/>
      </rPr>
      <t>Sell</t>
    </r>
    <r>
      <rPr>
        <sz val="18"/>
        <color theme="1"/>
        <rFont val="Arial"/>
        <family val="2"/>
      </rPr>
      <t xml:space="preserve"> GBP/USD 1-Year Forward</t>
    </r>
  </si>
  <si>
    <t xml:space="preserve">&lt;-- LOCKED IN: in one year we will have this amount </t>
  </si>
  <si>
    <t>2. Money Market Hedge</t>
  </si>
  <si>
    <t>[a] Borrow the discounted present value of the foreign receivable</t>
  </si>
  <si>
    <t>[b] Convert [a] into domestic at the current spot exchange</t>
  </si>
  <si>
    <t>[c] Invest [b] at the prevailing domestic interest rate</t>
  </si>
  <si>
    <t>3. Option Hedge</t>
  </si>
  <si>
    <r>
      <rPr>
        <sz val="18"/>
        <color theme="1"/>
        <rFont val="Arial"/>
        <family val="2"/>
      </rPr>
      <t xml:space="preserve">[a] Buy </t>
    </r>
    <r>
      <rPr>
        <b/>
        <sz val="18"/>
        <color theme="1"/>
        <rFont val="Arial"/>
        <family val="2"/>
      </rPr>
      <t>puts</t>
    </r>
  </si>
  <si>
    <t>[b] Determine 1-year future value equivalent of [a]</t>
  </si>
  <si>
    <t>&lt;-- LOWEST: variable amount depends on where GBP/USD spot ends up in 1 year</t>
  </si>
  <si>
    <t>GBP/USD
Spot Exchange Rate
(scenarios in 1 year)</t>
  </si>
  <si>
    <t>In one year, we receive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</si>
  <si>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</si>
  <si>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</si>
  <si>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</si>
  <si>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</si>
  <si>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</si>
  <si>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</si>
  <si>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</t>
  </si>
  <si>
    <t>&lt;-- Worse (GBP depreciates)</t>
  </si>
  <si>
    <t>&lt;-- baseline</t>
  </si>
  <si>
    <t>&lt;-- Better (GBP appreciates)</t>
  </si>
  <si>
    <r>
      <rPr>
        <b/>
        <sz val="18"/>
        <color theme="1"/>
        <rFont val="Arial"/>
        <family val="2"/>
      </rPr>
      <t xml:space="preserve">Hedging Foreign Currency </t>
    </r>
    <r>
      <rPr>
        <b/>
        <u/>
        <sz val="18"/>
        <color theme="1"/>
        <rFont val="Arial"/>
        <family val="2"/>
      </rPr>
      <t>Payables</t>
    </r>
  </si>
  <si>
    <r>
      <rPr>
        <sz val="18"/>
        <color theme="1"/>
        <rFont val="Arial"/>
        <family val="2"/>
      </rPr>
      <t xml:space="preserve">Suppose Boeing imported a Rolls-Royce jet engine for </t>
    </r>
    <r>
      <rPr>
        <b/>
        <sz val="18"/>
        <color theme="1"/>
        <rFont val="Arial"/>
        <family val="2"/>
      </rPr>
      <t xml:space="preserve">£5 million payable in one year
</t>
    </r>
  </si>
  <si>
    <t>GBP/USD Call Strike Price</t>
  </si>
  <si>
    <t>GBP/USD Call Price</t>
  </si>
  <si>
    <r>
      <rPr>
        <sz val="18"/>
        <color theme="1"/>
        <rFont val="Arial"/>
        <family val="2"/>
      </rPr>
      <t xml:space="preserve">[a] </t>
    </r>
    <r>
      <rPr>
        <b/>
        <sz val="18"/>
        <color theme="1"/>
        <rFont val="Arial"/>
        <family val="2"/>
      </rPr>
      <t>Buy</t>
    </r>
    <r>
      <rPr>
        <sz val="18"/>
        <color theme="1"/>
        <rFont val="Arial"/>
        <family val="2"/>
      </rPr>
      <t xml:space="preserve"> GBP/USD 1-Year Forward</t>
    </r>
  </si>
  <si>
    <t>[a] Determine present value of the foreign payable</t>
  </si>
  <si>
    <t>[b] Calculate [a] into domestic at the current spot exchange &amp; Borrow</t>
  </si>
  <si>
    <t>[c] Convert [b] into foreign currency at the current spot exchange</t>
  </si>
  <si>
    <t>[d] Recieve in 1-year and make payment</t>
  </si>
  <si>
    <t>[e] Future Value of expense at the prevailing domestic interest rate</t>
  </si>
  <si>
    <r>
      <rPr>
        <sz val="18"/>
        <color theme="1"/>
        <rFont val="Arial"/>
        <family val="2"/>
      </rPr>
      <t xml:space="preserve">[a] Buy </t>
    </r>
    <r>
      <rPr>
        <b/>
        <sz val="18"/>
        <color theme="1"/>
        <rFont val="Arial"/>
        <family val="2"/>
      </rPr>
      <t>call</t>
    </r>
  </si>
  <si>
    <t>&lt;-- HIGHEST: variable amount depends on where GBP/USD spot ends up in 1 year</t>
  </si>
  <si>
    <t>In one year, we pay</t>
  </si>
  <si>
    <t>&lt;-- Better (GBP depreciates)</t>
  </si>
  <si>
    <t>&lt;-- Worse (GBP appreciates)</t>
  </si>
  <si>
    <t>Notes &amp; Assumptions</t>
  </si>
  <si>
    <t>1. Interest rates are annual and simple.</t>
  </si>
  <si>
    <t>2. No transaction costs or taxes are included.</t>
  </si>
  <si>
    <t>3. No bid-ask spread is considered.</t>
  </si>
  <si>
    <t>4. Forward rate is assumed to be given and accurate.</t>
  </si>
  <si>
    <t>5. Option premiums are paid upfront.</t>
  </si>
  <si>
    <t>6. The receivable is certain and will be received in full.</t>
  </si>
  <si>
    <t>7. Exchange rates are quoted as GBP/USD.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</si>
</sst>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£]#,##0"/>
    <numFmt numFmtId="165" formatCode="&quot;$&quot;#,##0.00"/>
    <numFmt numFmtId="166" formatCode="&quot;$&quot;#,##0"/>
  </numFmts>
  <fonts count="12" x14ac:knownFonts="1">
    <font>
      <sz val="10"/>
      <color rgb="FF000000"/>
      <name val="Arial"/>
      <scheme val="minor"/>
    </font>
    <font>
      <sz val="18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0"/>
      <name val="Arial"/>
      <family val="2"/>
    </font>
    <font>
      <b/>
      <sz val="18"/>
      <color rgb="FF000000"/>
      <name val="Inconsolata"/>
    </font>
    <font>
      <u/>
      <sz val="18"/>
      <color theme="1"/>
      <name val="Arial"/>
      <family val="2"/>
      <scheme val="minor"/>
    </font>
    <font>
      <b/>
      <sz val="18"/>
      <color rgb="FF0000FF"/>
      <name val="Arial"/>
      <family val="2"/>
      <scheme val="minor"/>
    </font>
    <font>
      <sz val="18"/>
      <color theme="1"/>
      <name val="Arial"/>
      <family val="2"/>
    </font>
    <font>
      <sz val="18"/>
      <color rgb="FF0000FF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theme="1"/>
      <name val="Arial"/>
      <family val="2"/>
    </font>
    <font>
      <b/>
      <u/>
      <sz val="1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6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dotted">
        <color rgb="FF000000"/>
      </left>
      <right/>
      <top style="dotted">
        <color rgb="FF000000"/>
      </top>
      <bottom style="thin">
        <color rgb="FFFFFFFF"/>
      </bottom>
      <diagonal/>
    </border>
    <border>
      <left/>
      <right/>
      <top style="dotted">
        <color rgb="FF000000"/>
      </top>
      <bottom style="thin">
        <color rgb="FFFFFFFF"/>
      </bottom>
      <diagonal/>
    </border>
    <border>
      <left/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 style="dotted">
        <color rgb="FF000000"/>
      </left>
      <right/>
      <top style="thin">
        <color rgb="FFFFFFFF"/>
      </top>
      <bottom style="dotted">
        <color rgb="FF000000"/>
      </bottom>
      <diagonal/>
    </border>
    <border>
      <left/>
      <right/>
      <top style="thin">
        <color rgb="FFFFFFFF"/>
      </top>
      <bottom style="dotted">
        <color rgb="FF000000"/>
      </bottom>
      <diagonal/>
    </border>
    <border>
      <left/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/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Font="0" applyFill="0" applyBorder="0">
      <alignment vertical="top"/>
    </xf>
  </cellStyleXfs>
  <cellXfs count="214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2" fillId="0" borderId="9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3" borderId="11" xfId="0" applyNumberFormat="1" applyFont="1" applyFill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0" fontId="4" fillId="3" borderId="12" xfId="0" applyFont="1" applyFill="1" applyBorder="1"/>
    <xf numFmtId="164" fontId="1" fillId="0" borderId="4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5" fontId="1" fillId="3" borderId="11" xfId="0" applyNumberFormat="1" applyFont="1" applyFill="1" applyBorder="1" applyAlignment="1">
      <alignment vertical="top"/>
    </xf>
    <xf numFmtId="166" fontId="1" fillId="0" borderId="3" xfId="0" applyNumberFormat="1" applyFont="1" applyBorder="1" applyAlignment="1">
      <alignment vertical="top"/>
    </xf>
    <xf numFmtId="0" fontId="4" fillId="4" borderId="12" xfId="0" applyFont="1" applyFill="1" applyBorder="1"/>
    <xf numFmtId="0" fontId="5" fillId="0" borderId="10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0" fontId="1" fillId="5" borderId="11" xfId="0" applyNumberFormat="1" applyFont="1" applyFill="1" applyBorder="1" applyAlignment="1">
      <alignment vertical="top"/>
    </xf>
    <xf numFmtId="164" fontId="6" fillId="0" borderId="13" xfId="0" applyNumberFormat="1" applyFont="1" applyBorder="1" applyAlignment="1">
      <alignment vertical="top"/>
    </xf>
    <xf numFmtId="10" fontId="1" fillId="3" borderId="11" xfId="0" applyNumberFormat="1" applyFont="1" applyFill="1" applyBorder="1" applyAlignment="1">
      <alignment vertical="top"/>
    </xf>
    <xf numFmtId="165" fontId="1" fillId="5" borderId="11" xfId="0" applyNumberFormat="1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0" borderId="10" xfId="0" applyFont="1" applyBorder="1"/>
    <xf numFmtId="165" fontId="1" fillId="0" borderId="1" xfId="0" applyNumberFormat="1" applyFont="1" applyBorder="1"/>
    <xf numFmtId="165" fontId="1" fillId="3" borderId="11" xfId="0" applyNumberFormat="1" applyFont="1" applyFill="1" applyBorder="1"/>
    <xf numFmtId="0" fontId="1" fillId="0" borderId="15" xfId="0" applyFont="1" applyBorder="1" applyAlignment="1">
      <alignment vertical="top"/>
    </xf>
    <xf numFmtId="165" fontId="1" fillId="0" borderId="16" xfId="0" applyNumberFormat="1" applyFont="1" applyBorder="1" applyAlignment="1">
      <alignment vertical="top"/>
    </xf>
    <xf numFmtId="165" fontId="1" fillId="3" borderId="17" xfId="0" applyNumberFormat="1" applyFont="1" applyFill="1" applyBorder="1" applyAlignment="1">
      <alignment vertical="top"/>
    </xf>
    <xf numFmtId="0" fontId="1" fillId="0" borderId="1" xfId="0" applyFont="1" applyBorder="1"/>
    <xf numFmtId="0" fontId="1" fillId="0" borderId="18" xfId="0" applyFont="1" applyBorder="1" applyAlignment="1">
      <alignment vertical="top"/>
    </xf>
    <xf numFmtId="166" fontId="1" fillId="0" borderId="5" xfId="0" applyNumberFormat="1" applyFont="1" applyBorder="1" applyAlignment="1">
      <alignment vertical="top"/>
    </xf>
    <xf numFmtId="0" fontId="1" fillId="0" borderId="5" xfId="0" applyFont="1" applyBorder="1"/>
    <xf numFmtId="166" fontId="6" fillId="4" borderId="25" xfId="0" applyNumberFormat="1" applyFont="1" applyFill="1" applyBorder="1" applyAlignment="1">
      <alignment vertical="top"/>
    </xf>
    <xf numFmtId="166" fontId="1" fillId="0" borderId="18" xfId="0" applyNumberFormat="1" applyFont="1" applyBorder="1" applyAlignment="1">
      <alignment vertical="top"/>
    </xf>
    <xf numFmtId="164" fontId="8" fillId="0" borderId="1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1" fillId="0" borderId="30" xfId="0" applyFont="1" applyBorder="1" applyAlignment="1">
      <alignment vertical="top"/>
    </xf>
    <xf numFmtId="0" fontId="2" fillId="5" borderId="25" xfId="0" applyFont="1" applyFill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166" fontId="6" fillId="4" borderId="25" xfId="0" applyNumberFormat="1" applyFont="1" applyFill="1" applyBorder="1" applyAlignment="1">
      <alignment horizontal="right" vertical="top"/>
    </xf>
    <xf numFmtId="0" fontId="1" fillId="0" borderId="32" xfId="0" applyFont="1" applyBorder="1" applyAlignment="1">
      <alignment vertical="top"/>
    </xf>
    <xf numFmtId="0" fontId="2" fillId="0" borderId="38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39" xfId="0" applyNumberFormat="1" applyFont="1" applyBorder="1" applyAlignment="1">
      <alignment horizontal="center" vertical="top"/>
    </xf>
    <xf numFmtId="166" fontId="2" fillId="6" borderId="38" xfId="0" applyNumberFormat="1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166" fontId="2" fillId="6" borderId="39" xfId="0" applyNumberFormat="1" applyFont="1" applyFill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0" xfId="0" applyFont="1" applyAlignment="1">
      <alignment horizontal="center" vertical="center" textRotation="90"/>
    </xf>
    <xf numFmtId="165" fontId="1" fillId="2" borderId="41" xfId="0" applyNumberFormat="1" applyFont="1" applyFill="1" applyBorder="1" applyAlignment="1">
      <alignment vertical="top"/>
    </xf>
    <xf numFmtId="165" fontId="1" fillId="2" borderId="48" xfId="0" applyNumberFormat="1" applyFont="1" applyFill="1" applyBorder="1" applyAlignment="1">
      <alignment vertical="top"/>
    </xf>
    <xf numFmtId="0" fontId="8" fillId="0" borderId="51" xfId="0" applyFont="1" applyBorder="1" applyAlignment="1">
      <alignment horizontal="center" vertical="top"/>
    </xf>
    <xf numFmtId="166" fontId="8" fillId="0" borderId="51" xfId="0" applyNumberFormat="1" applyFont="1" applyBorder="1" applyAlignment="1">
      <alignment horizontal="center" vertical="top"/>
    </xf>
    <xf numFmtId="165" fontId="1" fillId="2" borderId="53" xfId="0" applyNumberFormat="1" applyFont="1" applyFill="1" applyBorder="1" applyAlignment="1">
      <alignment vertical="top"/>
    </xf>
    <xf numFmtId="166" fontId="8" fillId="0" borderId="58" xfId="0" applyNumberFormat="1" applyFont="1" applyBorder="1" applyAlignment="1">
      <alignment horizontal="center" vertical="top"/>
    </xf>
    <xf numFmtId="166" fontId="1" fillId="0" borderId="32" xfId="0" applyNumberFormat="1" applyFont="1" applyBorder="1" applyAlignment="1">
      <alignment vertical="top"/>
    </xf>
    <xf numFmtId="166" fontId="8" fillId="0" borderId="59" xfId="0" applyNumberFormat="1" applyFont="1" applyBorder="1" applyAlignment="1">
      <alignment vertical="top"/>
    </xf>
    <xf numFmtId="166" fontId="8" fillId="0" borderId="60" xfId="0" applyNumberFormat="1" applyFont="1" applyBorder="1" applyAlignment="1">
      <alignment vertical="top"/>
    </xf>
    <xf numFmtId="166" fontId="8" fillId="0" borderId="60" xfId="0" applyNumberFormat="1" applyFont="1" applyBorder="1"/>
    <xf numFmtId="166" fontId="8" fillId="0" borderId="61" xfId="0" applyNumberFormat="1" applyFont="1" applyBorder="1"/>
    <xf numFmtId="166" fontId="8" fillId="6" borderId="59" xfId="0" applyNumberFormat="1" applyFont="1" applyFill="1" applyBorder="1" applyAlignment="1">
      <alignment vertical="top"/>
    </xf>
    <xf numFmtId="166" fontId="8" fillId="6" borderId="60" xfId="0" applyNumberFormat="1" applyFont="1" applyFill="1" applyBorder="1" applyAlignment="1">
      <alignment vertical="top"/>
    </xf>
    <xf numFmtId="166" fontId="8" fillId="6" borderId="61" xfId="0" applyNumberFormat="1" applyFont="1" applyFill="1" applyBorder="1" applyAlignment="1">
      <alignment vertical="top"/>
    </xf>
    <xf numFmtId="0" fontId="8" fillId="0" borderId="59" xfId="0" applyFont="1" applyBorder="1" applyAlignment="1">
      <alignment horizontal="center" vertical="top"/>
    </xf>
    <xf numFmtId="166" fontId="8" fillId="0" borderId="46" xfId="0" applyNumberFormat="1" applyFont="1" applyBorder="1" applyAlignment="1">
      <alignment horizontal="center" vertical="top"/>
    </xf>
    <xf numFmtId="166" fontId="8" fillId="0" borderId="62" xfId="0" applyNumberFormat="1" applyFont="1" applyBorder="1" applyAlignment="1">
      <alignment vertical="top"/>
    </xf>
    <xf numFmtId="166" fontId="8" fillId="0" borderId="1" xfId="0" applyNumberFormat="1" applyFont="1" applyBorder="1"/>
    <xf numFmtId="166" fontId="8" fillId="0" borderId="63" xfId="0" applyNumberFormat="1" applyFont="1" applyBorder="1"/>
    <xf numFmtId="166" fontId="8" fillId="6" borderId="62" xfId="0" applyNumberFormat="1" applyFont="1" applyFill="1" applyBorder="1" applyAlignment="1">
      <alignment vertical="top"/>
    </xf>
    <xf numFmtId="166" fontId="8" fillId="6" borderId="1" xfId="0" applyNumberFormat="1" applyFont="1" applyFill="1" applyBorder="1" applyAlignment="1">
      <alignment vertical="top"/>
    </xf>
    <xf numFmtId="166" fontId="8" fillId="6" borderId="63" xfId="0" applyNumberFormat="1" applyFont="1" applyFill="1" applyBorder="1" applyAlignment="1">
      <alignment vertical="top"/>
    </xf>
    <xf numFmtId="0" fontId="8" fillId="0" borderId="62" xfId="0" applyFont="1" applyBorder="1" applyAlignment="1">
      <alignment horizontal="center" vertical="top"/>
    </xf>
    <xf numFmtId="166" fontId="8" fillId="0" borderId="64" xfId="0" applyNumberFormat="1" applyFont="1" applyBorder="1" applyAlignment="1">
      <alignment vertical="top"/>
    </xf>
    <xf numFmtId="166" fontId="8" fillId="0" borderId="65" xfId="0" applyNumberFormat="1" applyFont="1" applyBorder="1" applyAlignment="1">
      <alignment vertical="top"/>
    </xf>
    <xf numFmtId="166" fontId="8" fillId="0" borderId="65" xfId="0" applyNumberFormat="1" applyFont="1" applyBorder="1"/>
    <xf numFmtId="166" fontId="8" fillId="0" borderId="66" xfId="0" applyNumberFormat="1" applyFont="1" applyBorder="1"/>
    <xf numFmtId="166" fontId="8" fillId="6" borderId="64" xfId="0" applyNumberFormat="1" applyFont="1" applyFill="1" applyBorder="1" applyAlignment="1">
      <alignment vertical="top"/>
    </xf>
    <xf numFmtId="166" fontId="8" fillId="6" borderId="65" xfId="0" applyNumberFormat="1" applyFont="1" applyFill="1" applyBorder="1" applyAlignment="1">
      <alignment vertical="top"/>
    </xf>
    <xf numFmtId="166" fontId="8" fillId="6" borderId="66" xfId="0" applyNumberFormat="1" applyFont="1" applyFill="1" applyBorder="1" applyAlignment="1">
      <alignment vertical="top"/>
    </xf>
    <xf numFmtId="0" fontId="8" fillId="0" borderId="64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1" fillId="3" borderId="11" xfId="0" applyNumberFormat="1" applyFont="1" applyFill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5" fontId="1" fillId="3" borderId="11" xfId="0" applyNumberFormat="1" applyFont="1" applyFill="1" applyBorder="1" applyAlignment="1">
      <alignment vertical="center"/>
    </xf>
    <xf numFmtId="166" fontId="1" fillId="0" borderId="3" xfId="0" applyNumberFormat="1" applyFont="1" applyBorder="1" applyAlignment="1">
      <alignment vertical="center"/>
    </xf>
    <xf numFmtId="0" fontId="4" fillId="4" borderId="12" xfId="0" applyFont="1" applyFill="1" applyBorder="1" applyAlignment="1">
      <alignment vertical="center"/>
    </xf>
    <xf numFmtId="0" fontId="5" fillId="0" borderId="10" xfId="0" applyFont="1" applyBorder="1" applyAlignment="1">
      <alignment vertical="center"/>
    </xf>
    <xf numFmtId="10" fontId="1" fillId="0" borderId="1" xfId="0" applyNumberFormat="1" applyFont="1" applyBorder="1" applyAlignment="1">
      <alignment vertical="center"/>
    </xf>
    <xf numFmtId="10" fontId="1" fillId="5" borderId="11" xfId="0" applyNumberFormat="1" applyFont="1" applyFill="1" applyBorder="1" applyAlignment="1">
      <alignment vertical="center"/>
    </xf>
    <xf numFmtId="164" fontId="6" fillId="0" borderId="13" xfId="0" applyNumberFormat="1" applyFont="1" applyBorder="1" applyAlignment="1">
      <alignment vertical="center"/>
    </xf>
    <xf numFmtId="10" fontId="1" fillId="3" borderId="11" xfId="0" applyNumberFormat="1" applyFont="1" applyFill="1" applyBorder="1" applyAlignment="1">
      <alignment vertical="center"/>
    </xf>
    <xf numFmtId="0" fontId="7" fillId="0" borderId="14" xfId="0" applyFont="1" applyBorder="1" applyAlignment="1">
      <alignment vertical="center"/>
    </xf>
    <xf numFmtId="165" fontId="1" fillId="5" borderId="11" xfId="0" applyNumberFormat="1" applyFont="1" applyFill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0" fontId="1" fillId="0" borderId="15" xfId="0" applyFont="1" applyBorder="1" applyAlignment="1">
      <alignment vertical="center"/>
    </xf>
    <xf numFmtId="165" fontId="1" fillId="0" borderId="16" xfId="0" applyNumberFormat="1" applyFont="1" applyBorder="1" applyAlignment="1">
      <alignment vertical="center"/>
    </xf>
    <xf numFmtId="165" fontId="1" fillId="3" borderId="17" xfId="0" applyNumberFormat="1" applyFont="1" applyFill="1" applyBorder="1" applyAlignment="1">
      <alignment vertical="center"/>
    </xf>
    <xf numFmtId="0" fontId="1" fillId="0" borderId="18" xfId="0" applyFont="1" applyBorder="1" applyAlignment="1">
      <alignment vertical="center"/>
    </xf>
    <xf numFmtId="166" fontId="1" fillId="0" borderId="5" xfId="0" applyNumberFormat="1" applyFont="1" applyBorder="1" applyAlignment="1">
      <alignment vertical="center"/>
    </xf>
    <xf numFmtId="166" fontId="6" fillId="4" borderId="25" xfId="0" applyNumberFormat="1" applyFont="1" applyFill="1" applyBorder="1" applyAlignment="1">
      <alignment vertical="center"/>
    </xf>
    <xf numFmtId="166" fontId="1" fillId="0" borderId="18" xfId="0" applyNumberFormat="1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166" fontId="8" fillId="0" borderId="1" xfId="0" applyNumberFormat="1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2" fillId="5" borderId="25" xfId="0" applyFont="1" applyFill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166" fontId="6" fillId="4" borderId="25" xfId="0" applyNumberFormat="1" applyFont="1" applyFill="1" applyBorder="1" applyAlignment="1">
      <alignment horizontal="right" vertical="center"/>
    </xf>
    <xf numFmtId="0" fontId="1" fillId="0" borderId="32" xfId="0" applyFont="1" applyBorder="1" applyAlignment="1">
      <alignment vertical="center"/>
    </xf>
    <xf numFmtId="0" fontId="2" fillId="0" borderId="3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39" xfId="0" applyNumberFormat="1" applyFont="1" applyBorder="1" applyAlignment="1">
      <alignment horizontal="center" vertical="center"/>
    </xf>
    <xf numFmtId="166" fontId="2" fillId="6" borderId="38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6" fontId="2" fillId="6" borderId="39" xfId="0" applyNumberFormat="1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165" fontId="1" fillId="2" borderId="41" xfId="0" applyNumberFormat="1" applyFont="1" applyFill="1" applyBorder="1" applyAlignment="1">
      <alignment vertical="center"/>
    </xf>
    <xf numFmtId="166" fontId="8" fillId="0" borderId="42" xfId="0" applyNumberFormat="1" applyFont="1" applyBorder="1" applyAlignment="1">
      <alignment vertical="center"/>
    </xf>
    <xf numFmtId="166" fontId="8" fillId="0" borderId="43" xfId="0" applyNumberFormat="1" applyFont="1" applyBorder="1" applyAlignment="1">
      <alignment vertical="center"/>
    </xf>
    <xf numFmtId="166" fontId="8" fillId="0" borderId="44" xfId="0" applyNumberFormat="1" applyFont="1" applyBorder="1" applyAlignment="1">
      <alignment vertical="center"/>
    </xf>
    <xf numFmtId="166" fontId="8" fillId="6" borderId="42" xfId="0" applyNumberFormat="1" applyFont="1" applyFill="1" applyBorder="1" applyAlignment="1">
      <alignment vertical="center"/>
    </xf>
    <xf numFmtId="166" fontId="8" fillId="6" borderId="43" xfId="0" applyNumberFormat="1" applyFont="1" applyFill="1" applyBorder="1" applyAlignment="1">
      <alignment vertical="center"/>
    </xf>
    <xf numFmtId="166" fontId="8" fillId="6" borderId="44" xfId="0" applyNumberFormat="1" applyFont="1" applyFill="1" applyBorder="1" applyAlignment="1">
      <alignment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165" fontId="1" fillId="2" borderId="48" xfId="0" applyNumberFormat="1" applyFont="1" applyFill="1" applyBorder="1" applyAlignment="1">
      <alignment vertical="center"/>
    </xf>
    <xf numFmtId="166" fontId="8" fillId="0" borderId="49" xfId="0" applyNumberFormat="1" applyFont="1" applyBorder="1" applyAlignment="1">
      <alignment vertical="center"/>
    </xf>
    <xf numFmtId="166" fontId="8" fillId="0" borderId="0" xfId="0" applyNumberFormat="1" applyFont="1" applyAlignment="1">
      <alignment vertical="center"/>
    </xf>
    <xf numFmtId="166" fontId="8" fillId="0" borderId="50" xfId="0" applyNumberFormat="1" applyFont="1" applyBorder="1" applyAlignment="1">
      <alignment vertical="center"/>
    </xf>
    <xf numFmtId="166" fontId="8" fillId="6" borderId="49" xfId="0" applyNumberFormat="1" applyFont="1" applyFill="1" applyBorder="1" applyAlignment="1">
      <alignment vertical="center"/>
    </xf>
    <xf numFmtId="166" fontId="8" fillId="6" borderId="0" xfId="0" applyNumberFormat="1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166" fontId="8" fillId="0" borderId="51" xfId="0" applyNumberFormat="1" applyFont="1" applyBorder="1" applyAlignment="1">
      <alignment horizontal="center" vertical="center"/>
    </xf>
    <xf numFmtId="165" fontId="1" fillId="2" borderId="53" xfId="0" applyNumberFormat="1" applyFont="1" applyFill="1" applyBorder="1" applyAlignment="1">
      <alignment vertical="center"/>
    </xf>
    <xf numFmtId="166" fontId="8" fillId="0" borderId="54" xfId="0" applyNumberFormat="1" applyFont="1" applyBorder="1" applyAlignment="1">
      <alignment vertical="center"/>
    </xf>
    <xf numFmtId="166" fontId="8" fillId="0" borderId="55" xfId="0" applyNumberFormat="1" applyFont="1" applyBorder="1" applyAlignment="1">
      <alignment vertical="center"/>
    </xf>
    <xf numFmtId="166" fontId="8" fillId="0" borderId="56" xfId="0" applyNumberFormat="1" applyFont="1" applyBorder="1" applyAlignment="1">
      <alignment vertical="center"/>
    </xf>
    <xf numFmtId="166" fontId="8" fillId="6" borderId="54" xfId="0" applyNumberFormat="1" applyFont="1" applyFill="1" applyBorder="1" applyAlignment="1">
      <alignment vertical="center"/>
    </xf>
    <xf numFmtId="166" fontId="8" fillId="6" borderId="55" xfId="0" applyNumberFormat="1" applyFont="1" applyFill="1" applyBorder="1" applyAlignment="1">
      <alignment vertical="center"/>
    </xf>
    <xf numFmtId="0" fontId="8" fillId="0" borderId="57" xfId="0" applyFont="1" applyBorder="1" applyAlignment="1">
      <alignment horizontal="center" vertical="center"/>
    </xf>
    <xf numFmtId="166" fontId="8" fillId="0" borderId="58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40" xfId="0" applyFont="1" applyBorder="1" applyAlignment="1">
      <alignment horizontal="center" vertical="center" textRotation="90"/>
    </xf>
    <xf numFmtId="0" fontId="3" fillId="0" borderId="47" xfId="0" applyFont="1" applyBorder="1" applyAlignment="1">
      <alignment vertical="center"/>
    </xf>
    <xf numFmtId="0" fontId="3" fillId="0" borderId="52" xfId="0" applyFont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2" fillId="2" borderId="33" xfId="0" applyFont="1" applyFill="1" applyBorder="1" applyAlignment="1">
      <alignment horizontal="center" vertical="center"/>
    </xf>
    <xf numFmtId="0" fontId="3" fillId="0" borderId="37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2" fillId="6" borderId="34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top"/>
    </xf>
    <xf numFmtId="0" fontId="3" fillId="0" borderId="36" xfId="0" applyFont="1" applyBorder="1"/>
    <xf numFmtId="0" fontId="1" fillId="0" borderId="2" xfId="0" applyFont="1" applyBorder="1" applyAlignment="1">
      <alignment vertical="top"/>
    </xf>
    <xf numFmtId="0" fontId="3" fillId="0" borderId="3" xfId="0" applyFont="1" applyBorder="1"/>
    <xf numFmtId="0" fontId="3" fillId="0" borderId="29" xfId="0" applyFont="1" applyBorder="1"/>
    <xf numFmtId="0" fontId="2" fillId="0" borderId="26" xfId="0" applyFont="1" applyBorder="1" applyAlignment="1">
      <alignment vertical="top"/>
    </xf>
    <xf numFmtId="0" fontId="3" fillId="0" borderId="23" xfId="0" applyFont="1" applyBorder="1"/>
    <xf numFmtId="0" fontId="3" fillId="0" borderId="27" xfId="0" applyFont="1" applyBorder="1"/>
    <xf numFmtId="0" fontId="2" fillId="2" borderId="19" xfId="0" applyFont="1" applyFill="1" applyBorder="1" applyAlignment="1">
      <alignment vertical="top"/>
    </xf>
    <xf numFmtId="0" fontId="3" fillId="0" borderId="20" xfId="0" applyFont="1" applyBorder="1"/>
    <xf numFmtId="0" fontId="3" fillId="0" borderId="21" xfId="0" applyFont="1" applyBorder="1"/>
    <xf numFmtId="0" fontId="1" fillId="0" borderId="28" xfId="0" applyFont="1" applyBorder="1" applyAlignment="1">
      <alignment vertical="top"/>
    </xf>
    <xf numFmtId="0" fontId="3" fillId="0" borderId="4" xfId="0" applyFont="1" applyBorder="1"/>
    <xf numFmtId="0" fontId="3" fillId="0" borderId="47" xfId="0" applyFont="1" applyBorder="1"/>
    <xf numFmtId="0" fontId="3" fillId="0" borderId="52" xfId="0" applyFont="1" applyBorder="1"/>
    <xf numFmtId="0" fontId="2" fillId="2" borderId="6" xfId="0" applyFont="1" applyFill="1" applyBorder="1" applyAlignment="1">
      <alignment horizontal="center" vertical="top"/>
    </xf>
    <xf numFmtId="0" fontId="3" fillId="0" borderId="7" xfId="0" applyFont="1" applyBorder="1"/>
    <xf numFmtId="0" fontId="2" fillId="2" borderId="19" xfId="0" applyFont="1" applyFill="1" applyBorder="1"/>
    <xf numFmtId="0" fontId="1" fillId="0" borderId="22" xfId="0" applyFont="1" applyBorder="1" applyAlignment="1">
      <alignment vertical="top"/>
    </xf>
    <xf numFmtId="0" fontId="3" fillId="0" borderId="24" xfId="0" applyFont="1" applyBorder="1"/>
    <xf numFmtId="0" fontId="2" fillId="2" borderId="33" xfId="0" applyFont="1" applyFill="1" applyBorder="1" applyAlignment="1">
      <alignment horizontal="center" vertical="top"/>
    </xf>
    <xf numFmtId="0" fontId="3" fillId="0" borderId="37" xfId="0" applyFont="1" applyBorder="1"/>
    <xf numFmtId="0" fontId="3" fillId="0" borderId="35" xfId="0" applyFont="1" applyBorder="1"/>
    <xf numFmtId="0" fontId="2" fillId="6" borderId="34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2">
    <cellStyle name="Normal" xfId="0" builtinId="0"/>
    <cellStyle name="Style 1" xfId="1" xr:uid="{31FF21C8-B49A-7246-8224-9FF231DA03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14"/>
  <sheetViews>
    <sheetView tabSelected="1" zoomScaleNormal="100" workbookViewId="0">
      <selection activeCell="C15" sqref="C15"/>
    </sheetView>
  </sheetViews>
  <sheetFormatPr baseColWidth="10" defaultColWidth="12.6640625" defaultRowHeight="15.75" customHeight="1" x14ac:dyDescent="0.15"/>
  <cols>
    <col min="1" max="1" width="3" style="89" customWidth="1"/>
    <col min="2" max="2" width="4.5" style="89" customWidth="1"/>
    <col min="3" max="3" width="43.6640625" style="89" customWidth="1"/>
    <col min="4" max="4" width="33.5" style="89" customWidth="1"/>
    <col min="5" max="5" width="26.1640625" style="89" customWidth="1"/>
    <col min="6" max="6" width="34.33203125" style="89" customWidth="1"/>
    <col min="7" max="7" width="31.33203125" style="89" customWidth="1"/>
    <col min="8" max="8" width="48.5" style="89" customWidth="1"/>
    <col min="9" max="9" width="34.33203125" style="89" customWidth="1"/>
    <col min="10" max="10" width="24" style="89" customWidth="1"/>
    <col min="11" max="11" width="33" style="89" customWidth="1"/>
    <col min="12" max="12" width="33.1640625" style="89" customWidth="1"/>
    <col min="13" max="13" width="39.6640625" style="89" customWidth="1"/>
    <col min="14" max="16384" width="12.6640625" style="89"/>
  </cols>
  <sheetData>
    <row r="1" spans="1:30" ht="15.75" customHeight="1" x14ac:dyDescent="0.15">
      <c r="A1" s="87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</row>
    <row r="2" spans="1:30" ht="15.75" customHeight="1" x14ac:dyDescent="0.15">
      <c r="A2" s="87"/>
      <c r="B2" s="88"/>
      <c r="C2" s="90" t="s">
        <v>0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</row>
    <row r="3" spans="1:30" ht="15.75" customHeight="1" x14ac:dyDescent="0.15">
      <c r="A3" s="87"/>
      <c r="B3" s="88"/>
      <c r="C3" s="167" t="s">
        <v>1</v>
      </c>
      <c r="D3" s="168"/>
      <c r="E3" s="168"/>
      <c r="F3" s="168"/>
      <c r="G3" s="168"/>
      <c r="H3" s="168"/>
      <c r="I3" s="168"/>
      <c r="J3" s="177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</row>
    <row r="4" spans="1:30" ht="15.75" customHeight="1" x14ac:dyDescent="0.15">
      <c r="A4" s="87"/>
      <c r="B4" s="88"/>
      <c r="C4" s="92"/>
      <c r="D4" s="92"/>
      <c r="E4" s="92"/>
      <c r="F4" s="92"/>
      <c r="G4" s="88"/>
      <c r="H4" s="92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</row>
    <row r="5" spans="1:30" ht="15.75" customHeight="1" x14ac:dyDescent="0.15">
      <c r="A5" s="87"/>
      <c r="B5" s="91"/>
      <c r="C5" s="181" t="s">
        <v>2</v>
      </c>
      <c r="D5" s="182"/>
      <c r="E5" s="182"/>
      <c r="F5" s="93" t="s">
        <v>3</v>
      </c>
      <c r="G5" s="94"/>
      <c r="H5" s="95" t="s">
        <v>4</v>
      </c>
      <c r="I5" s="96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</row>
    <row r="6" spans="1:30" ht="15.75" customHeight="1" x14ac:dyDescent="0.15">
      <c r="A6" s="87"/>
      <c r="B6" s="91"/>
      <c r="C6" s="97" t="s">
        <v>5</v>
      </c>
      <c r="D6" s="98"/>
      <c r="E6" s="98"/>
      <c r="F6" s="99">
        <v>12500000</v>
      </c>
      <c r="G6" s="100"/>
      <c r="H6" s="101" t="s">
        <v>6</v>
      </c>
      <c r="I6" s="102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</row>
    <row r="7" spans="1:30" ht="15.75" customHeight="1" x14ac:dyDescent="0.15">
      <c r="A7" s="87"/>
      <c r="B7" s="91"/>
      <c r="C7" s="97" t="s">
        <v>7</v>
      </c>
      <c r="D7" s="103"/>
      <c r="E7" s="103"/>
      <c r="F7" s="104">
        <v>1.35</v>
      </c>
      <c r="G7" s="105"/>
      <c r="H7" s="106" t="s">
        <v>8</v>
      </c>
      <c r="I7" s="96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</row>
    <row r="8" spans="1:30" ht="15.75" customHeight="1" x14ac:dyDescent="0.15">
      <c r="A8" s="87"/>
      <c r="B8" s="91"/>
      <c r="C8" s="107" t="s">
        <v>9</v>
      </c>
      <c r="D8" s="108"/>
      <c r="E8" s="108"/>
      <c r="F8" s="109"/>
      <c r="G8" s="96"/>
      <c r="H8" s="110" t="s">
        <v>10</v>
      </c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</row>
    <row r="9" spans="1:30" ht="15.75" customHeight="1" x14ac:dyDescent="0.15">
      <c r="A9" s="87"/>
      <c r="B9" s="91"/>
      <c r="C9" s="97" t="s">
        <v>11</v>
      </c>
      <c r="D9" s="108"/>
      <c r="E9" s="108"/>
      <c r="F9" s="111">
        <v>3.6999999999999998E-2</v>
      </c>
      <c r="G9" s="96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</row>
    <row r="10" spans="1:30" ht="15.75" customHeight="1" x14ac:dyDescent="0.15">
      <c r="A10" s="87"/>
      <c r="B10" s="91"/>
      <c r="C10" s="97" t="s">
        <v>12</v>
      </c>
      <c r="D10" s="108"/>
      <c r="E10" s="108"/>
      <c r="F10" s="111">
        <v>4.2500000000000003E-2</v>
      </c>
      <c r="G10" s="112" t="s">
        <v>13</v>
      </c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</row>
    <row r="11" spans="1:30" ht="15.75" customHeight="1" x14ac:dyDescent="0.15">
      <c r="A11" s="87"/>
      <c r="B11" s="91"/>
      <c r="C11" s="107" t="s">
        <v>14</v>
      </c>
      <c r="D11" s="103"/>
      <c r="E11" s="103"/>
      <c r="F11" s="113"/>
      <c r="G11" s="96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</row>
    <row r="12" spans="1:30" ht="15.75" customHeight="1" x14ac:dyDescent="0.15">
      <c r="A12" s="87"/>
      <c r="B12" s="91"/>
      <c r="C12" s="97" t="s">
        <v>15</v>
      </c>
      <c r="D12" s="103"/>
      <c r="E12" s="103"/>
      <c r="F12" s="104">
        <v>1.35</v>
      </c>
      <c r="G12" s="96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</row>
    <row r="13" spans="1:30" ht="15.75" customHeight="1" x14ac:dyDescent="0.15">
      <c r="A13" s="87"/>
      <c r="B13" s="91"/>
      <c r="C13" s="107" t="s">
        <v>16</v>
      </c>
      <c r="D13" s="88"/>
      <c r="E13" s="88"/>
      <c r="F13" s="114"/>
      <c r="G13" s="96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</row>
    <row r="14" spans="1:30" ht="15.75" customHeight="1" x14ac:dyDescent="0.15">
      <c r="A14" s="87"/>
      <c r="B14" s="91"/>
      <c r="C14" s="97" t="s">
        <v>17</v>
      </c>
      <c r="D14" s="103"/>
      <c r="E14" s="103"/>
      <c r="F14" s="104">
        <v>1.46</v>
      </c>
      <c r="G14" s="96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</row>
    <row r="15" spans="1:30" ht="15.75" customHeight="1" x14ac:dyDescent="0.15">
      <c r="A15" s="87"/>
      <c r="B15" s="91"/>
      <c r="C15" s="115" t="s">
        <v>18</v>
      </c>
      <c r="D15" s="116"/>
      <c r="E15" s="116"/>
      <c r="F15" s="117">
        <v>0.02</v>
      </c>
      <c r="G15" s="96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</row>
    <row r="16" spans="1:30" ht="15.75" customHeight="1" x14ac:dyDescent="0.15">
      <c r="A16" s="87"/>
      <c r="B16" s="88"/>
      <c r="C16" s="118"/>
      <c r="D16" s="118"/>
      <c r="E16" s="118"/>
      <c r="F16" s="118"/>
      <c r="G16" s="119"/>
      <c r="H16" s="119"/>
      <c r="I16" s="92"/>
      <c r="J16" s="92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</row>
    <row r="17" spans="1:30" ht="15.75" customHeight="1" x14ac:dyDescent="0.15">
      <c r="A17" s="87"/>
      <c r="B17" s="91"/>
      <c r="C17" s="173" t="s">
        <v>19</v>
      </c>
      <c r="D17" s="174"/>
      <c r="E17" s="174"/>
      <c r="F17" s="174"/>
      <c r="G17" s="174"/>
      <c r="H17" s="174"/>
      <c r="I17" s="174"/>
      <c r="J17" s="175"/>
      <c r="K17" s="96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</row>
    <row r="18" spans="1:30" ht="15.75" customHeight="1" x14ac:dyDescent="0.15">
      <c r="A18" s="87"/>
      <c r="B18" s="91"/>
      <c r="C18" s="183" t="s">
        <v>20</v>
      </c>
      <c r="D18" s="171"/>
      <c r="E18" s="184"/>
      <c r="F18" s="120">
        <f>F6*for_GBPUSD</f>
        <v>16875000</v>
      </c>
      <c r="G18" s="170" t="s">
        <v>21</v>
      </c>
      <c r="H18" s="171"/>
      <c r="I18" s="171"/>
      <c r="J18" s="172"/>
      <c r="K18" s="96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</row>
    <row r="19" spans="1:30" ht="15.75" customHeight="1" x14ac:dyDescent="0.15">
      <c r="A19" s="87"/>
      <c r="B19" s="88"/>
      <c r="C19" s="118"/>
      <c r="D19" s="118"/>
      <c r="E19" s="118"/>
      <c r="F19" s="118"/>
      <c r="G19" s="121"/>
      <c r="H19" s="118"/>
      <c r="I19" s="118"/>
      <c r="J19" s="11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</row>
    <row r="20" spans="1:30" ht="15.75" customHeight="1" x14ac:dyDescent="0.15">
      <c r="A20" s="87"/>
      <c r="B20" s="91"/>
      <c r="C20" s="173" t="s">
        <v>22</v>
      </c>
      <c r="D20" s="174"/>
      <c r="E20" s="174"/>
      <c r="F20" s="174"/>
      <c r="G20" s="174"/>
      <c r="H20" s="174"/>
      <c r="I20" s="174"/>
      <c r="J20" s="175"/>
      <c r="K20" s="96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</row>
    <row r="21" spans="1:30" ht="15.75" customHeight="1" x14ac:dyDescent="0.15">
      <c r="A21" s="87"/>
      <c r="B21" s="91"/>
      <c r="C21" s="176" t="s">
        <v>23</v>
      </c>
      <c r="D21" s="168"/>
      <c r="E21" s="177"/>
      <c r="F21" s="122">
        <f>F6/(1+F10)</f>
        <v>11990407.673860911</v>
      </c>
      <c r="G21" s="167"/>
      <c r="H21" s="168"/>
      <c r="I21" s="168"/>
      <c r="J21" s="169"/>
      <c r="K21" s="96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</row>
    <row r="22" spans="1:30" ht="15.75" customHeight="1" x14ac:dyDescent="0.15">
      <c r="A22" s="87"/>
      <c r="B22" s="91"/>
      <c r="C22" s="176" t="s">
        <v>24</v>
      </c>
      <c r="D22" s="168"/>
      <c r="E22" s="177"/>
      <c r="F22" s="123">
        <f>F21*F7</f>
        <v>16187050.359712232</v>
      </c>
      <c r="G22" s="167"/>
      <c r="H22" s="168"/>
      <c r="I22" s="168"/>
      <c r="J22" s="169"/>
      <c r="K22" s="96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</row>
    <row r="23" spans="1:30" ht="15.75" customHeight="1" x14ac:dyDescent="0.15">
      <c r="A23" s="87"/>
      <c r="B23" s="91"/>
      <c r="C23" s="176" t="s">
        <v>25</v>
      </c>
      <c r="D23" s="168"/>
      <c r="E23" s="177"/>
      <c r="F23" s="123">
        <f>F22*(1+F9)</f>
        <v>16785971.223021582</v>
      </c>
      <c r="G23" s="167"/>
      <c r="H23" s="168"/>
      <c r="I23" s="168"/>
      <c r="J23" s="169"/>
      <c r="K23" s="96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</row>
    <row r="24" spans="1:30" ht="15.75" customHeight="1" x14ac:dyDescent="0.15">
      <c r="A24" s="87"/>
      <c r="B24" s="91"/>
      <c r="C24" s="124"/>
      <c r="D24" s="125"/>
      <c r="E24" s="125"/>
      <c r="F24" s="120">
        <f>F23</f>
        <v>16785971.223021582</v>
      </c>
      <c r="G24" s="170" t="s">
        <v>21</v>
      </c>
      <c r="H24" s="171"/>
      <c r="I24" s="171"/>
      <c r="J24" s="172"/>
      <c r="K24" s="96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</row>
    <row r="25" spans="1:30" ht="15.75" customHeight="1" x14ac:dyDescent="0.15">
      <c r="A25" s="87"/>
      <c r="B25" s="88"/>
      <c r="C25" s="118"/>
      <c r="D25" s="118"/>
      <c r="E25" s="118"/>
      <c r="F25" s="118"/>
      <c r="G25" s="121"/>
      <c r="H25" s="118"/>
      <c r="I25" s="118"/>
      <c r="J25" s="11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</row>
    <row r="26" spans="1:30" ht="15.75" customHeight="1" x14ac:dyDescent="0.15">
      <c r="A26" s="87"/>
      <c r="B26" s="91"/>
      <c r="C26" s="173" t="s">
        <v>26</v>
      </c>
      <c r="D26" s="174"/>
      <c r="E26" s="174"/>
      <c r="F26" s="174"/>
      <c r="G26" s="174"/>
      <c r="H26" s="174"/>
      <c r="I26" s="174"/>
      <c r="J26" s="175"/>
      <c r="K26" s="96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</row>
    <row r="27" spans="1:30" ht="15.75" customHeight="1" x14ac:dyDescent="0.15">
      <c r="A27" s="87"/>
      <c r="B27" s="91"/>
      <c r="C27" s="176" t="s">
        <v>27</v>
      </c>
      <c r="D27" s="168"/>
      <c r="E27" s="177"/>
      <c r="F27" s="123">
        <f>-put_price*recievable</f>
        <v>-250000</v>
      </c>
      <c r="G27" s="103">
        <f>put_price*F7</f>
        <v>2.7000000000000003E-2</v>
      </c>
      <c r="H27" s="88"/>
      <c r="I27" s="88"/>
      <c r="J27" s="126"/>
      <c r="K27" s="96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</row>
    <row r="28" spans="1:30" ht="15.75" customHeight="1" x14ac:dyDescent="0.15">
      <c r="A28" s="87"/>
      <c r="B28" s="91"/>
      <c r="C28" s="176" t="s">
        <v>28</v>
      </c>
      <c r="D28" s="168"/>
      <c r="E28" s="177"/>
      <c r="F28" s="123">
        <f>F27*(1+F9)</f>
        <v>-259249.99999999997</v>
      </c>
      <c r="G28" s="88"/>
      <c r="H28" s="88"/>
      <c r="I28" s="88"/>
      <c r="J28" s="126"/>
      <c r="K28" s="96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</row>
    <row r="29" spans="1:30" ht="15.75" customHeight="1" x14ac:dyDescent="0.15">
      <c r="A29" s="87"/>
      <c r="B29" s="91"/>
      <c r="C29" s="124"/>
      <c r="D29" s="127"/>
      <c r="E29" s="127"/>
      <c r="F29" s="128">
        <f>MIN(G33:G45)</f>
        <v>17990750</v>
      </c>
      <c r="G29" s="170" t="s">
        <v>29</v>
      </c>
      <c r="H29" s="171"/>
      <c r="I29" s="171"/>
      <c r="J29" s="172"/>
      <c r="K29" s="96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</row>
    <row r="30" spans="1:30" ht="15.75" customHeight="1" x14ac:dyDescent="0.15">
      <c r="A30" s="87"/>
      <c r="B30" s="88"/>
      <c r="C30" s="129"/>
      <c r="D30" s="118"/>
      <c r="E30" s="118"/>
      <c r="F30" s="118"/>
      <c r="G30" s="121"/>
      <c r="H30" s="129"/>
      <c r="I30" s="129"/>
      <c r="J30" s="129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</row>
    <row r="31" spans="1:30" ht="15.75" customHeight="1" x14ac:dyDescent="0.15">
      <c r="A31" s="87"/>
      <c r="B31" s="91"/>
      <c r="C31" s="185" t="s">
        <v>30</v>
      </c>
      <c r="D31" s="165" t="s">
        <v>31</v>
      </c>
      <c r="E31" s="187"/>
      <c r="F31" s="187"/>
      <c r="G31" s="166"/>
      <c r="H31" s="188" t="s">
        <v>32</v>
      </c>
      <c r="I31" s="187"/>
      <c r="J31" s="166"/>
      <c r="K31" s="165" t="s">
        <v>33</v>
      </c>
      <c r="L31" s="166"/>
      <c r="M31" s="96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</row>
    <row r="32" spans="1:30" ht="15.75" customHeight="1" x14ac:dyDescent="0.15">
      <c r="A32" s="87"/>
      <c r="B32" s="91"/>
      <c r="C32" s="186"/>
      <c r="D32" s="130" t="s">
        <v>34</v>
      </c>
      <c r="E32" s="131" t="s">
        <v>19</v>
      </c>
      <c r="F32" s="132" t="s">
        <v>22</v>
      </c>
      <c r="G32" s="133" t="s">
        <v>26</v>
      </c>
      <c r="H32" s="134" t="s">
        <v>35</v>
      </c>
      <c r="I32" s="135" t="s">
        <v>22</v>
      </c>
      <c r="J32" s="136" t="s">
        <v>26</v>
      </c>
      <c r="K32" s="130" t="s">
        <v>36</v>
      </c>
      <c r="L32" s="137" t="s">
        <v>37</v>
      </c>
      <c r="M32" s="96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</row>
    <row r="33" spans="1:30" ht="15.75" customHeight="1" x14ac:dyDescent="0.15">
      <c r="A33" s="55"/>
      <c r="B33" s="178" t="s">
        <v>38</v>
      </c>
      <c r="C33" s="138">
        <f t="shared" ref="C33:C38" si="0">C34-0.01</f>
        <v>1.4</v>
      </c>
      <c r="D33" s="139">
        <f t="shared" ref="D33:D45" si="1">C33*$F$6</f>
        <v>17500000</v>
      </c>
      <c r="E33" s="140">
        <f t="shared" ref="E33:E45" si="2">$D33+($F$12-C33)*$F$6</f>
        <v>16875000.000000004</v>
      </c>
      <c r="F33" s="140">
        <f t="shared" ref="F33:F45" si="3">$F$24</f>
        <v>16785971.223021582</v>
      </c>
      <c r="G33" s="141">
        <f>hedge_no+J33</f>
        <v>17990750</v>
      </c>
      <c r="H33" s="142">
        <f t="shared" ref="H33:H45" si="4">($F$12-C33)*$F$6</f>
        <v>-624999.99999999779</v>
      </c>
      <c r="I33" s="143">
        <f t="shared" ref="I33:I45" si="5">$F$24-D33</f>
        <v>-714028.77697841823</v>
      </c>
      <c r="J33" s="144">
        <f t="shared" ref="J33:J45" si="6">fv_put_outlay+MAX(0,(x_put-gbpusd_1y_scenario)*recievable)</f>
        <v>490750.0000000007</v>
      </c>
      <c r="K33" s="145" t="str">
        <f t="shared" ref="K33:K45" si="7">IF(E33= MAX(D33,E33,F33,G33),$E$32,IF(F33= MAX(D33,E33,F33,G33),$F$32,IF(G33= MAX(D33,E33,F33,G33),$G$32,$D$32)))</f>
        <v>3. Option Hedge</v>
      </c>
      <c r="L33" s="146" t="str">
        <f t="shared" ref="L33:L45" si="8">IF(E33= MAX(E33,F33,G33),$E$32,IF(F33= MAX(E33,F33,G33),$F$32,$G$32))</f>
        <v>3. Option Hedge</v>
      </c>
      <c r="M33" s="96" t="s">
        <v>39</v>
      </c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</row>
    <row r="34" spans="1:30" ht="15.75" customHeight="1" x14ac:dyDescent="0.15">
      <c r="A34" s="55"/>
      <c r="B34" s="179"/>
      <c r="C34" s="147">
        <f t="shared" si="0"/>
        <v>1.41</v>
      </c>
      <c r="D34" s="148">
        <f t="shared" si="1"/>
        <v>17625000</v>
      </c>
      <c r="E34" s="149">
        <f t="shared" si="2"/>
        <v>16875000.000000004</v>
      </c>
      <c r="F34" s="149">
        <f t="shared" si="3"/>
        <v>16785971.223021582</v>
      </c>
      <c r="G34" s="150">
        <f t="shared" ref="G34:G45" si="9">$D34+J34</f>
        <v>17990750</v>
      </c>
      <c r="H34" s="151">
        <f t="shared" si="4"/>
        <v>-749999.9999999979</v>
      </c>
      <c r="I34" s="152">
        <f t="shared" si="5"/>
        <v>-839028.77697841823</v>
      </c>
      <c r="J34" s="144">
        <f t="shared" si="6"/>
        <v>365750.00000000058</v>
      </c>
      <c r="K34" s="153" t="str">
        <f t="shared" si="7"/>
        <v>3. Option Hedge</v>
      </c>
      <c r="L34" s="154" t="str">
        <f t="shared" si="8"/>
        <v>3. Option Hedge</v>
      </c>
      <c r="M34" s="155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</row>
    <row r="35" spans="1:30" ht="15.75" customHeight="1" x14ac:dyDescent="0.15">
      <c r="A35" s="55"/>
      <c r="B35" s="179"/>
      <c r="C35" s="147">
        <f t="shared" si="0"/>
        <v>1.42</v>
      </c>
      <c r="D35" s="148">
        <f t="shared" si="1"/>
        <v>17750000</v>
      </c>
      <c r="E35" s="149">
        <f t="shared" si="2"/>
        <v>16875000.000000004</v>
      </c>
      <c r="F35" s="149">
        <f t="shared" si="3"/>
        <v>16785971.223021582</v>
      </c>
      <c r="G35" s="150">
        <f t="shared" si="9"/>
        <v>17990750</v>
      </c>
      <c r="H35" s="151">
        <f t="shared" si="4"/>
        <v>-874999.99999999802</v>
      </c>
      <c r="I35" s="152">
        <f t="shared" si="5"/>
        <v>-964028.77697841823</v>
      </c>
      <c r="J35" s="144">
        <f t="shared" si="6"/>
        <v>240750.00000000049</v>
      </c>
      <c r="K35" s="153" t="str">
        <f t="shared" si="7"/>
        <v>3. Option Hedge</v>
      </c>
      <c r="L35" s="154" t="str">
        <f t="shared" si="8"/>
        <v>3. Option Hedge</v>
      </c>
      <c r="M35" s="96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</row>
    <row r="36" spans="1:30" ht="15.75" customHeight="1" x14ac:dyDescent="0.15">
      <c r="A36" s="55"/>
      <c r="B36" s="179"/>
      <c r="C36" s="147">
        <f t="shared" si="0"/>
        <v>1.43</v>
      </c>
      <c r="D36" s="148">
        <f t="shared" si="1"/>
        <v>17875000</v>
      </c>
      <c r="E36" s="149">
        <f t="shared" si="2"/>
        <v>16875000</v>
      </c>
      <c r="F36" s="149">
        <f t="shared" si="3"/>
        <v>16785971.223021582</v>
      </c>
      <c r="G36" s="150">
        <f t="shared" si="9"/>
        <v>17990750</v>
      </c>
      <c r="H36" s="151">
        <f t="shared" si="4"/>
        <v>-999999.99999999814</v>
      </c>
      <c r="I36" s="152">
        <f t="shared" si="5"/>
        <v>-1089028.7769784182</v>
      </c>
      <c r="J36" s="144">
        <f t="shared" si="6"/>
        <v>115750.00000000038</v>
      </c>
      <c r="K36" s="153" t="str">
        <f t="shared" si="7"/>
        <v>3. Option Hedge</v>
      </c>
      <c r="L36" s="154" t="str">
        <f t="shared" si="8"/>
        <v>3. Option Hedge</v>
      </c>
      <c r="M36" s="96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</row>
    <row r="37" spans="1:30" ht="15.75" customHeight="1" x14ac:dyDescent="0.15">
      <c r="A37" s="55"/>
      <c r="B37" s="179"/>
      <c r="C37" s="147">
        <f t="shared" si="0"/>
        <v>1.44</v>
      </c>
      <c r="D37" s="148">
        <f t="shared" si="1"/>
        <v>18000000</v>
      </c>
      <c r="E37" s="149">
        <f t="shared" si="2"/>
        <v>16875000</v>
      </c>
      <c r="F37" s="149">
        <f t="shared" si="3"/>
        <v>16785971.223021582</v>
      </c>
      <c r="G37" s="150">
        <f t="shared" si="9"/>
        <v>17990750</v>
      </c>
      <c r="H37" s="151">
        <f t="shared" si="4"/>
        <v>-1124999.9999999981</v>
      </c>
      <c r="I37" s="152">
        <f t="shared" si="5"/>
        <v>-1214028.7769784182</v>
      </c>
      <c r="J37" s="144">
        <f t="shared" si="6"/>
        <v>-9249.9999999997381</v>
      </c>
      <c r="K37" s="153" t="str">
        <f t="shared" si="7"/>
        <v>0. No Hedge</v>
      </c>
      <c r="L37" s="154" t="str">
        <f t="shared" si="8"/>
        <v>3. Option Hedge</v>
      </c>
      <c r="M37" s="96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</row>
    <row r="38" spans="1:30" ht="15.75" customHeight="1" x14ac:dyDescent="0.15">
      <c r="A38" s="55"/>
      <c r="B38" s="179"/>
      <c r="C38" s="147">
        <f t="shared" si="0"/>
        <v>1.45</v>
      </c>
      <c r="D38" s="148">
        <f t="shared" si="1"/>
        <v>18125000</v>
      </c>
      <c r="E38" s="149">
        <f t="shared" si="2"/>
        <v>16875000</v>
      </c>
      <c r="F38" s="149">
        <f t="shared" si="3"/>
        <v>16785971.223021582</v>
      </c>
      <c r="G38" s="150">
        <f t="shared" si="9"/>
        <v>17990750</v>
      </c>
      <c r="H38" s="151">
        <f t="shared" si="4"/>
        <v>-1249999.9999999984</v>
      </c>
      <c r="I38" s="152">
        <f t="shared" si="5"/>
        <v>-1339028.7769784182</v>
      </c>
      <c r="J38" s="144">
        <f t="shared" si="6"/>
        <v>-134249.99999999985</v>
      </c>
      <c r="K38" s="153" t="str">
        <f t="shared" si="7"/>
        <v>0. No Hedge</v>
      </c>
      <c r="L38" s="154" t="str">
        <f t="shared" si="8"/>
        <v>3. Option Hedge</v>
      </c>
      <c r="M38" s="96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</row>
    <row r="39" spans="1:30" ht="15.75" customHeight="1" x14ac:dyDescent="0.15">
      <c r="A39" s="55"/>
      <c r="B39" s="179"/>
      <c r="C39" s="147">
        <v>1.46</v>
      </c>
      <c r="D39" s="148">
        <f t="shared" si="1"/>
        <v>18250000</v>
      </c>
      <c r="E39" s="149">
        <f t="shared" si="2"/>
        <v>16875000</v>
      </c>
      <c r="F39" s="149">
        <f t="shared" si="3"/>
        <v>16785971.223021582</v>
      </c>
      <c r="G39" s="150">
        <f t="shared" si="9"/>
        <v>17990750</v>
      </c>
      <c r="H39" s="151">
        <f t="shared" si="4"/>
        <v>-1374999.9999999984</v>
      </c>
      <c r="I39" s="152">
        <f t="shared" si="5"/>
        <v>-1464028.7769784182</v>
      </c>
      <c r="J39" s="144">
        <f t="shared" si="6"/>
        <v>-259249.99999999997</v>
      </c>
      <c r="K39" s="153" t="str">
        <f t="shared" si="7"/>
        <v>0. No Hedge</v>
      </c>
      <c r="L39" s="154" t="str">
        <f t="shared" si="8"/>
        <v>3. Option Hedge</v>
      </c>
      <c r="M39" s="96" t="s">
        <v>40</v>
      </c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</row>
    <row r="40" spans="1:30" ht="15.75" customHeight="1" x14ac:dyDescent="0.15">
      <c r="A40" s="55"/>
      <c r="B40" s="179"/>
      <c r="C40" s="147">
        <f t="shared" ref="C40:C45" si="10">C39+0.01</f>
        <v>1.47</v>
      </c>
      <c r="D40" s="148">
        <f t="shared" si="1"/>
        <v>18375000</v>
      </c>
      <c r="E40" s="149">
        <f t="shared" si="2"/>
        <v>16875000</v>
      </c>
      <c r="F40" s="149">
        <f t="shared" si="3"/>
        <v>16785971.223021582</v>
      </c>
      <c r="G40" s="150">
        <f t="shared" si="9"/>
        <v>18115750</v>
      </c>
      <c r="H40" s="151">
        <f t="shared" si="4"/>
        <v>-1499999.9999999986</v>
      </c>
      <c r="I40" s="152">
        <f t="shared" si="5"/>
        <v>-1589028.7769784182</v>
      </c>
      <c r="J40" s="144">
        <f t="shared" si="6"/>
        <v>-259249.99999999997</v>
      </c>
      <c r="K40" s="153" t="str">
        <f t="shared" si="7"/>
        <v>0. No Hedge</v>
      </c>
      <c r="L40" s="154" t="str">
        <f t="shared" si="8"/>
        <v>3. Option Hedge</v>
      </c>
      <c r="M40" s="96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</row>
    <row r="41" spans="1:30" ht="15.75" customHeight="1" x14ac:dyDescent="0.15">
      <c r="A41" s="55"/>
      <c r="B41" s="179"/>
      <c r="C41" s="147">
        <f t="shared" si="10"/>
        <v>1.48</v>
      </c>
      <c r="D41" s="148">
        <f t="shared" si="1"/>
        <v>18500000</v>
      </c>
      <c r="E41" s="149">
        <f t="shared" si="2"/>
        <v>16875000</v>
      </c>
      <c r="F41" s="149">
        <f t="shared" si="3"/>
        <v>16785971.223021582</v>
      </c>
      <c r="G41" s="150">
        <f t="shared" si="9"/>
        <v>18240750</v>
      </c>
      <c r="H41" s="151">
        <f t="shared" si="4"/>
        <v>-1624999.9999999986</v>
      </c>
      <c r="I41" s="152">
        <f t="shared" si="5"/>
        <v>-1714028.7769784182</v>
      </c>
      <c r="J41" s="144">
        <f t="shared" si="6"/>
        <v>-259249.99999999997</v>
      </c>
      <c r="K41" s="153" t="str">
        <f t="shared" si="7"/>
        <v>0. No Hedge</v>
      </c>
      <c r="L41" s="154" t="str">
        <f t="shared" si="8"/>
        <v>3. Option Hedge</v>
      </c>
      <c r="M41" s="96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</row>
    <row r="42" spans="1:30" ht="15.75" customHeight="1" x14ac:dyDescent="0.15">
      <c r="A42" s="55"/>
      <c r="B42" s="179"/>
      <c r="C42" s="147">
        <f t="shared" si="10"/>
        <v>1.49</v>
      </c>
      <c r="D42" s="148">
        <f t="shared" si="1"/>
        <v>18625000</v>
      </c>
      <c r="E42" s="149">
        <f t="shared" si="2"/>
        <v>16875000</v>
      </c>
      <c r="F42" s="149">
        <f t="shared" si="3"/>
        <v>16785971.223021582</v>
      </c>
      <c r="G42" s="150">
        <f t="shared" si="9"/>
        <v>18365750</v>
      </c>
      <c r="H42" s="151">
        <f t="shared" si="4"/>
        <v>-1749999.9999999988</v>
      </c>
      <c r="I42" s="152">
        <f t="shared" si="5"/>
        <v>-1839028.7769784182</v>
      </c>
      <c r="J42" s="144">
        <f t="shared" si="6"/>
        <v>-259249.99999999997</v>
      </c>
      <c r="K42" s="153" t="str">
        <f t="shared" si="7"/>
        <v>0. No Hedge</v>
      </c>
      <c r="L42" s="156" t="str">
        <f t="shared" si="8"/>
        <v>3. Option Hedge</v>
      </c>
      <c r="M42" s="96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</row>
    <row r="43" spans="1:30" ht="15.75" customHeight="1" x14ac:dyDescent="0.15">
      <c r="A43" s="55"/>
      <c r="B43" s="179"/>
      <c r="C43" s="147">
        <f t="shared" si="10"/>
        <v>1.5</v>
      </c>
      <c r="D43" s="148">
        <f t="shared" si="1"/>
        <v>18750000</v>
      </c>
      <c r="E43" s="149">
        <f t="shared" si="2"/>
        <v>16875000</v>
      </c>
      <c r="F43" s="149">
        <f t="shared" si="3"/>
        <v>16785971.223021582</v>
      </c>
      <c r="G43" s="150">
        <f t="shared" si="9"/>
        <v>18490750</v>
      </c>
      <c r="H43" s="151">
        <f t="shared" si="4"/>
        <v>-1874999.9999999988</v>
      </c>
      <c r="I43" s="152">
        <f t="shared" si="5"/>
        <v>-1964028.7769784182</v>
      </c>
      <c r="J43" s="144">
        <f t="shared" si="6"/>
        <v>-259249.99999999997</v>
      </c>
      <c r="K43" s="153" t="str">
        <f t="shared" si="7"/>
        <v>0. No Hedge</v>
      </c>
      <c r="L43" s="156" t="str">
        <f t="shared" si="8"/>
        <v>3. Option Hedge</v>
      </c>
      <c r="M43" s="96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</row>
    <row r="44" spans="1:30" ht="15.75" customHeight="1" x14ac:dyDescent="0.15">
      <c r="A44" s="55"/>
      <c r="B44" s="179"/>
      <c r="C44" s="147">
        <f t="shared" si="10"/>
        <v>1.51</v>
      </c>
      <c r="D44" s="148">
        <f t="shared" si="1"/>
        <v>18875000</v>
      </c>
      <c r="E44" s="149">
        <f t="shared" si="2"/>
        <v>16875000</v>
      </c>
      <c r="F44" s="149">
        <f t="shared" si="3"/>
        <v>16785971.223021582</v>
      </c>
      <c r="G44" s="150">
        <f t="shared" si="9"/>
        <v>18615750</v>
      </c>
      <c r="H44" s="151">
        <f t="shared" si="4"/>
        <v>-1999999.9999999991</v>
      </c>
      <c r="I44" s="152">
        <f t="shared" si="5"/>
        <v>-2089028.7769784182</v>
      </c>
      <c r="J44" s="144">
        <f t="shared" si="6"/>
        <v>-259249.99999999997</v>
      </c>
      <c r="K44" s="153" t="str">
        <f t="shared" si="7"/>
        <v>0. No Hedge</v>
      </c>
      <c r="L44" s="156" t="str">
        <f t="shared" si="8"/>
        <v>3. Option Hedge</v>
      </c>
      <c r="M44" s="96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</row>
    <row r="45" spans="1:30" ht="15.75" customHeight="1" x14ac:dyDescent="0.15">
      <c r="A45" s="55"/>
      <c r="B45" s="180"/>
      <c r="C45" s="157">
        <f t="shared" si="10"/>
        <v>1.52</v>
      </c>
      <c r="D45" s="158">
        <f t="shared" si="1"/>
        <v>19000000</v>
      </c>
      <c r="E45" s="159">
        <f t="shared" si="2"/>
        <v>16875000</v>
      </c>
      <c r="F45" s="159">
        <f t="shared" si="3"/>
        <v>16785971.223021582</v>
      </c>
      <c r="G45" s="160">
        <f t="shared" si="9"/>
        <v>18740750</v>
      </c>
      <c r="H45" s="161">
        <f t="shared" si="4"/>
        <v>-2124999.9999999991</v>
      </c>
      <c r="I45" s="162">
        <f t="shared" si="5"/>
        <v>-2214028.7769784182</v>
      </c>
      <c r="J45" s="144">
        <f t="shared" si="6"/>
        <v>-259249.99999999997</v>
      </c>
      <c r="K45" s="163" t="str">
        <f t="shared" si="7"/>
        <v>0. No Hedge</v>
      </c>
      <c r="L45" s="164" t="str">
        <f t="shared" si="8"/>
        <v>3. Option Hedge</v>
      </c>
      <c r="M45" s="96" t="s">
        <v>41</v>
      </c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</row>
    <row r="46" spans="1:30" ht="15.75" customHeight="1" x14ac:dyDescent="0.15">
      <c r="A46" s="87"/>
      <c r="B46" s="88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</row>
    <row r="47" spans="1:30" ht="15.75" customHeight="1" x14ac:dyDescent="0.15">
      <c r="A47" s="87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</row>
    <row r="48" spans="1:30" ht="15.75" customHeight="1" x14ac:dyDescent="0.15">
      <c r="A48" s="87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</row>
    <row r="49" spans="1:30" ht="15.75" customHeight="1" x14ac:dyDescent="0.15">
      <c r="A49" s="87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</row>
    <row r="50" spans="1:30" ht="15.75" customHeight="1" x14ac:dyDescent="0.15">
      <c r="A50" s="87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</row>
    <row r="51" spans="1:30" ht="15.75" customHeight="1" x14ac:dyDescent="0.15">
      <c r="A51" s="87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</row>
    <row r="52" spans="1:30" ht="15.75" customHeight="1" x14ac:dyDescent="0.15">
      <c r="A52" s="87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</row>
    <row r="53" spans="1:30" ht="15.75" customHeight="1" x14ac:dyDescent="0.15">
      <c r="A53" s="87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</row>
    <row r="54" spans="1:30" ht="23" x14ac:dyDescent="0.15">
      <c r="A54" s="87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</row>
    <row r="55" spans="1:30" ht="23" x14ac:dyDescent="0.15">
      <c r="A55" s="87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</row>
    <row r="56" spans="1:30" ht="23" x14ac:dyDescent="0.15">
      <c r="A56" s="87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</row>
    <row r="57" spans="1:30" ht="23" x14ac:dyDescent="0.15">
      <c r="A57" s="87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</row>
    <row r="58" spans="1:30" ht="23" x14ac:dyDescent="0.15">
      <c r="A58" s="87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</row>
    <row r="59" spans="1:30" ht="23" x14ac:dyDescent="0.15">
      <c r="A59" s="87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</row>
    <row r="60" spans="1:30" ht="23" x14ac:dyDescent="0.15">
      <c r="A60" s="87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</row>
    <row r="61" spans="1:30" ht="23" x14ac:dyDescent="0.15">
      <c r="A61" s="87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</row>
    <row r="62" spans="1:30" ht="23" x14ac:dyDescent="0.15">
      <c r="A62" s="87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</row>
    <row r="63" spans="1:30" ht="23" x14ac:dyDescent="0.15">
      <c r="A63" s="87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</row>
    <row r="64" spans="1:30" ht="23" x14ac:dyDescent="0.15">
      <c r="A64" s="87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</row>
    <row r="65" spans="1:30" ht="23" x14ac:dyDescent="0.15">
      <c r="A65" s="87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</row>
    <row r="66" spans="1:30" ht="23" x14ac:dyDescent="0.15">
      <c r="A66" s="87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</row>
    <row r="67" spans="1:30" ht="23" x14ac:dyDescent="0.15">
      <c r="A67" s="87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</row>
    <row r="68" spans="1:30" ht="23" x14ac:dyDescent="0.15">
      <c r="A68" s="87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</row>
    <row r="69" spans="1:30" ht="23" x14ac:dyDescent="0.15">
      <c r="A69" s="87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</row>
    <row r="70" spans="1:30" ht="23" x14ac:dyDescent="0.15">
      <c r="A70" s="87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</row>
    <row r="71" spans="1:30" ht="23" x14ac:dyDescent="0.15">
      <c r="A71" s="87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</row>
    <row r="72" spans="1:30" ht="23" x14ac:dyDescent="0.15">
      <c r="A72" s="87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</row>
    <row r="73" spans="1:30" ht="23" x14ac:dyDescent="0.15">
      <c r="A73" s="87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</row>
    <row r="74" spans="1:30" ht="23" x14ac:dyDescent="0.15">
      <c r="A74" s="87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</row>
    <row r="75" spans="1:30" ht="23" x14ac:dyDescent="0.15">
      <c r="A75" s="87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</row>
    <row r="76" spans="1:30" ht="23" x14ac:dyDescent="0.15">
      <c r="A76" s="87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</row>
    <row r="77" spans="1:30" ht="23" x14ac:dyDescent="0.15">
      <c r="A77" s="87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</row>
    <row r="78" spans="1:30" ht="23" x14ac:dyDescent="0.15">
      <c r="A78" s="87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</row>
    <row r="79" spans="1:30" ht="23" x14ac:dyDescent="0.15">
      <c r="A79" s="87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</row>
    <row r="80" spans="1:30" ht="23" x14ac:dyDescent="0.15">
      <c r="A80" s="87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</row>
    <row r="81" spans="1:30" ht="23" x14ac:dyDescent="0.15">
      <c r="A81" s="87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</row>
    <row r="82" spans="1:30" ht="23" x14ac:dyDescent="0.15">
      <c r="A82" s="87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</row>
    <row r="83" spans="1:30" ht="23" x14ac:dyDescent="0.15">
      <c r="A83" s="87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</row>
    <row r="84" spans="1:30" ht="23" x14ac:dyDescent="0.15">
      <c r="A84" s="87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</row>
    <row r="85" spans="1:30" ht="23" x14ac:dyDescent="0.15">
      <c r="A85" s="87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</row>
    <row r="86" spans="1:30" ht="23" x14ac:dyDescent="0.15">
      <c r="A86" s="87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</row>
    <row r="87" spans="1:30" ht="23" x14ac:dyDescent="0.15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</row>
    <row r="88" spans="1:30" ht="23" x14ac:dyDescent="0.15">
      <c r="A88" s="87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</row>
    <row r="89" spans="1:30" ht="23" x14ac:dyDescent="0.15">
      <c r="A89" s="87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</row>
    <row r="90" spans="1:30" ht="23" x14ac:dyDescent="0.15">
      <c r="A90" s="87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</row>
    <row r="91" spans="1:30" ht="23" x14ac:dyDescent="0.15">
      <c r="A91" s="87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</row>
    <row r="92" spans="1:30" ht="23" x14ac:dyDescent="0.15">
      <c r="A92" s="87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</row>
    <row r="93" spans="1:30" ht="23" x14ac:dyDescent="0.15">
      <c r="A93" s="87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</row>
    <row r="94" spans="1:30" ht="23" x14ac:dyDescent="0.15">
      <c r="A94" s="87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</row>
    <row r="95" spans="1:30" ht="23" x14ac:dyDescent="0.15">
      <c r="A95" s="87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</row>
    <row r="96" spans="1:30" ht="23" x14ac:dyDescent="0.15">
      <c r="A96" s="87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</row>
    <row r="97" spans="1:30" ht="23" x14ac:dyDescent="0.15">
      <c r="A97" s="87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</row>
    <row r="98" spans="1:30" ht="23" x14ac:dyDescent="0.15">
      <c r="A98" s="87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</row>
    <row r="99" spans="1:30" ht="23" x14ac:dyDescent="0.15">
      <c r="A99" s="87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</row>
    <row r="100" spans="1:30" ht="23" x14ac:dyDescent="0.15">
      <c r="A100" s="87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</row>
    <row r="101" spans="1:30" ht="23" x14ac:dyDescent="0.15">
      <c r="A101" s="87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</row>
    <row r="102" spans="1:30" ht="23" x14ac:dyDescent="0.15">
      <c r="A102" s="87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</row>
    <row r="103" spans="1:30" ht="23" x14ac:dyDescent="0.15">
      <c r="A103" s="87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</row>
    <row r="104" spans="1:30" ht="23" x14ac:dyDescent="0.15">
      <c r="A104" s="87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</row>
    <row r="105" spans="1:30" ht="23" x14ac:dyDescent="0.15">
      <c r="A105" s="87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</row>
    <row r="106" spans="1:30" ht="23" x14ac:dyDescent="0.15">
      <c r="A106" s="87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</row>
    <row r="107" spans="1:30" ht="23" x14ac:dyDescent="0.15">
      <c r="A107" s="87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</row>
    <row r="108" spans="1:30" ht="23" x14ac:dyDescent="0.15">
      <c r="A108" s="87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</row>
    <row r="109" spans="1:30" ht="23" x14ac:dyDescent="0.15">
      <c r="A109" s="87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</row>
    <row r="110" spans="1:30" ht="23" x14ac:dyDescent="0.15">
      <c r="A110" s="87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</row>
    <row r="111" spans="1:30" ht="23" x14ac:dyDescent="0.15">
      <c r="A111" s="87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</row>
    <row r="112" spans="1:30" ht="23" x14ac:dyDescent="0.15">
      <c r="A112" s="87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</row>
    <row r="113" spans="1:30" ht="23" x14ac:dyDescent="0.15">
      <c r="A113" s="87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</row>
    <row r="114" spans="1:30" ht="23" x14ac:dyDescent="0.15">
      <c r="A114" s="87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</row>
    <row r="115" spans="1:30" ht="23" x14ac:dyDescent="0.15">
      <c r="A115" s="87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</row>
    <row r="116" spans="1:30" ht="23" x14ac:dyDescent="0.15">
      <c r="A116" s="87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</row>
    <row r="117" spans="1:30" ht="23" x14ac:dyDescent="0.15">
      <c r="A117" s="87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</row>
    <row r="118" spans="1:30" ht="23" x14ac:dyDescent="0.15">
      <c r="A118" s="87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</row>
    <row r="119" spans="1:30" ht="23" x14ac:dyDescent="0.15">
      <c r="A119" s="87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</row>
    <row r="120" spans="1:30" ht="23" x14ac:dyDescent="0.15">
      <c r="A120" s="87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</row>
    <row r="121" spans="1:30" ht="23" x14ac:dyDescent="0.15">
      <c r="A121" s="87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</row>
    <row r="122" spans="1:30" ht="23" x14ac:dyDescent="0.15">
      <c r="A122" s="87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</row>
    <row r="123" spans="1:30" ht="23" x14ac:dyDescent="0.15">
      <c r="A123" s="87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</row>
    <row r="124" spans="1:30" ht="23" x14ac:dyDescent="0.15">
      <c r="A124" s="87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</row>
    <row r="125" spans="1:30" ht="23" x14ac:dyDescent="0.15">
      <c r="A125" s="87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</row>
    <row r="126" spans="1:30" ht="23" x14ac:dyDescent="0.15">
      <c r="A126" s="87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</row>
    <row r="127" spans="1:30" ht="23" x14ac:dyDescent="0.15">
      <c r="A127" s="87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</row>
    <row r="128" spans="1:30" ht="23" x14ac:dyDescent="0.15">
      <c r="A128" s="87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</row>
    <row r="129" spans="1:30" ht="23" x14ac:dyDescent="0.15">
      <c r="A129" s="87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</row>
    <row r="130" spans="1:30" ht="23" x14ac:dyDescent="0.15">
      <c r="A130" s="87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</row>
    <row r="131" spans="1:30" ht="23" x14ac:dyDescent="0.15">
      <c r="A131" s="87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</row>
    <row r="132" spans="1:30" ht="23" x14ac:dyDescent="0.15">
      <c r="A132" s="87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</row>
    <row r="133" spans="1:30" ht="23" x14ac:dyDescent="0.15">
      <c r="A133" s="87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</row>
    <row r="134" spans="1:30" ht="23" x14ac:dyDescent="0.15">
      <c r="A134" s="87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</row>
    <row r="135" spans="1:30" ht="23" x14ac:dyDescent="0.15">
      <c r="A135" s="87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</row>
    <row r="136" spans="1:30" ht="23" x14ac:dyDescent="0.15">
      <c r="A136" s="87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</row>
    <row r="137" spans="1:30" ht="23" x14ac:dyDescent="0.15">
      <c r="A137" s="87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</row>
    <row r="138" spans="1:30" ht="23" x14ac:dyDescent="0.15">
      <c r="A138" s="87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</row>
    <row r="139" spans="1:30" ht="23" x14ac:dyDescent="0.15">
      <c r="A139" s="87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</row>
    <row r="140" spans="1:30" ht="23" x14ac:dyDescent="0.15">
      <c r="A140" s="87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</row>
    <row r="141" spans="1:30" ht="23" x14ac:dyDescent="0.15">
      <c r="A141" s="87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</row>
    <row r="142" spans="1:30" ht="23" x14ac:dyDescent="0.15">
      <c r="A142" s="87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</row>
    <row r="143" spans="1:30" ht="23" x14ac:dyDescent="0.15">
      <c r="A143" s="87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</row>
    <row r="144" spans="1:30" ht="23" x14ac:dyDescent="0.15">
      <c r="A144" s="87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</row>
    <row r="145" spans="1:30" ht="23" x14ac:dyDescent="0.15">
      <c r="A145" s="87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</row>
    <row r="146" spans="1:30" ht="23" x14ac:dyDescent="0.15">
      <c r="A146" s="87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</row>
    <row r="147" spans="1:30" ht="23" x14ac:dyDescent="0.15">
      <c r="A147" s="87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</row>
    <row r="148" spans="1:30" ht="23" x14ac:dyDescent="0.15">
      <c r="A148" s="87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</row>
    <row r="149" spans="1:30" ht="23" x14ac:dyDescent="0.15">
      <c r="A149" s="87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</row>
    <row r="150" spans="1:30" ht="23" x14ac:dyDescent="0.15">
      <c r="A150" s="87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</row>
    <row r="151" spans="1:30" ht="23" x14ac:dyDescent="0.15">
      <c r="A151" s="87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</row>
    <row r="152" spans="1:30" ht="23" x14ac:dyDescent="0.15">
      <c r="A152" s="87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</row>
    <row r="153" spans="1:30" ht="23" x14ac:dyDescent="0.15">
      <c r="A153" s="87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</row>
    <row r="154" spans="1:30" ht="23" x14ac:dyDescent="0.15">
      <c r="A154" s="87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</row>
    <row r="155" spans="1:30" ht="23" x14ac:dyDescent="0.15">
      <c r="A155" s="87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</row>
    <row r="156" spans="1:30" ht="23" x14ac:dyDescent="0.15">
      <c r="A156" s="87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</row>
    <row r="157" spans="1:30" ht="23" x14ac:dyDescent="0.15">
      <c r="A157" s="87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</row>
    <row r="158" spans="1:30" ht="23" x14ac:dyDescent="0.15">
      <c r="A158" s="87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</row>
    <row r="159" spans="1:30" ht="23" x14ac:dyDescent="0.15">
      <c r="A159" s="87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</row>
    <row r="160" spans="1:30" ht="23" x14ac:dyDescent="0.15">
      <c r="A160" s="87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</row>
    <row r="161" spans="1:30" ht="23" x14ac:dyDescent="0.15">
      <c r="A161" s="87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</row>
    <row r="162" spans="1:30" ht="23" x14ac:dyDescent="0.15">
      <c r="A162" s="87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</row>
    <row r="163" spans="1:30" ht="23" x14ac:dyDescent="0.15">
      <c r="A163" s="87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</row>
    <row r="164" spans="1:30" ht="23" x14ac:dyDescent="0.15">
      <c r="A164" s="87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</row>
    <row r="165" spans="1:30" ht="23" x14ac:dyDescent="0.15">
      <c r="A165" s="87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</row>
    <row r="166" spans="1:30" ht="23" x14ac:dyDescent="0.15">
      <c r="A166" s="87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</row>
    <row r="167" spans="1:30" ht="23" x14ac:dyDescent="0.15">
      <c r="A167" s="87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</row>
    <row r="168" spans="1:30" ht="23" x14ac:dyDescent="0.15">
      <c r="A168" s="87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</row>
    <row r="169" spans="1:30" ht="23" x14ac:dyDescent="0.15">
      <c r="A169" s="87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</row>
    <row r="170" spans="1:30" ht="23" x14ac:dyDescent="0.15">
      <c r="A170" s="87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</row>
    <row r="171" spans="1:30" ht="23" x14ac:dyDescent="0.15">
      <c r="A171" s="87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</row>
    <row r="172" spans="1:30" ht="23" x14ac:dyDescent="0.15">
      <c r="A172" s="87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</row>
    <row r="173" spans="1:30" ht="23" x14ac:dyDescent="0.15">
      <c r="A173" s="87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</row>
    <row r="174" spans="1:30" ht="23" x14ac:dyDescent="0.15">
      <c r="A174" s="87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</row>
    <row r="175" spans="1:30" ht="23" x14ac:dyDescent="0.15">
      <c r="A175" s="87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</row>
    <row r="176" spans="1:30" ht="23" x14ac:dyDescent="0.15">
      <c r="A176" s="87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</row>
    <row r="177" spans="1:30" ht="23" x14ac:dyDescent="0.15">
      <c r="A177" s="87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</row>
    <row r="178" spans="1:30" ht="23" x14ac:dyDescent="0.15">
      <c r="A178" s="87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</row>
    <row r="179" spans="1:30" ht="23" x14ac:dyDescent="0.15">
      <c r="A179" s="87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</row>
    <row r="180" spans="1:30" ht="23" x14ac:dyDescent="0.15">
      <c r="A180" s="87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</row>
    <row r="181" spans="1:30" ht="23" x14ac:dyDescent="0.15">
      <c r="A181" s="87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</row>
    <row r="182" spans="1:30" ht="23" x14ac:dyDescent="0.15">
      <c r="A182" s="87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</row>
    <row r="183" spans="1:30" ht="23" x14ac:dyDescent="0.15">
      <c r="A183" s="87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</row>
    <row r="184" spans="1:30" ht="23" x14ac:dyDescent="0.15">
      <c r="A184" s="87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</row>
    <row r="185" spans="1:30" ht="23" x14ac:dyDescent="0.15">
      <c r="A185" s="87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</row>
    <row r="186" spans="1:30" ht="23" x14ac:dyDescent="0.15">
      <c r="A186" s="87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</row>
    <row r="187" spans="1:30" ht="23" x14ac:dyDescent="0.15">
      <c r="A187" s="87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</row>
    <row r="188" spans="1:30" ht="23" x14ac:dyDescent="0.15">
      <c r="A188" s="87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</row>
    <row r="189" spans="1:30" ht="23" x14ac:dyDescent="0.15">
      <c r="A189" s="87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</row>
    <row r="190" spans="1:30" ht="23" x14ac:dyDescent="0.15">
      <c r="A190" s="87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</row>
    <row r="191" spans="1:30" ht="23" x14ac:dyDescent="0.15">
      <c r="A191" s="87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</row>
    <row r="192" spans="1:30" ht="23" x14ac:dyDescent="0.15">
      <c r="A192" s="87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</row>
    <row r="193" spans="1:30" ht="23" x14ac:dyDescent="0.15">
      <c r="A193" s="87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</row>
    <row r="194" spans="1:30" ht="23" x14ac:dyDescent="0.15">
      <c r="A194" s="87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</row>
    <row r="195" spans="1:30" ht="23" x14ac:dyDescent="0.15">
      <c r="A195" s="87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</row>
    <row r="196" spans="1:30" ht="23" x14ac:dyDescent="0.15">
      <c r="A196" s="87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</row>
    <row r="197" spans="1:30" ht="23" x14ac:dyDescent="0.15">
      <c r="A197" s="87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</row>
    <row r="198" spans="1:30" ht="23" x14ac:dyDescent="0.15">
      <c r="A198" s="87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</row>
    <row r="199" spans="1:30" ht="23" x14ac:dyDescent="0.15">
      <c r="A199" s="87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</row>
    <row r="200" spans="1:30" ht="23" x14ac:dyDescent="0.15">
      <c r="A200" s="87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</row>
    <row r="201" spans="1:30" ht="23" x14ac:dyDescent="0.15">
      <c r="A201" s="87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</row>
    <row r="202" spans="1:30" ht="23" x14ac:dyDescent="0.15">
      <c r="A202" s="87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</row>
    <row r="203" spans="1:30" ht="23" x14ac:dyDescent="0.15">
      <c r="A203" s="87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</row>
    <row r="204" spans="1:30" ht="23" x14ac:dyDescent="0.15">
      <c r="A204" s="87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</row>
    <row r="205" spans="1:30" ht="23" x14ac:dyDescent="0.15">
      <c r="A205" s="87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</row>
    <row r="206" spans="1:30" ht="23" x14ac:dyDescent="0.15">
      <c r="A206" s="87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</row>
    <row r="207" spans="1:30" ht="23" x14ac:dyDescent="0.15">
      <c r="A207" s="87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</row>
    <row r="208" spans="1:30" ht="23" x14ac:dyDescent="0.15">
      <c r="A208" s="87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</row>
    <row r="209" spans="1:30" ht="23" x14ac:dyDescent="0.15">
      <c r="A209" s="87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</row>
    <row r="210" spans="1:30" ht="23" x14ac:dyDescent="0.15">
      <c r="A210" s="87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</row>
    <row r="211" spans="1:30" ht="23" x14ac:dyDescent="0.15">
      <c r="A211" s="87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</row>
    <row r="212" spans="1:30" ht="23" x14ac:dyDescent="0.15">
      <c r="A212" s="87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</row>
    <row r="213" spans="1:30" ht="23" x14ac:dyDescent="0.15">
      <c r="A213" s="87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</row>
    <row r="214" spans="1:30" ht="23" x14ac:dyDescent="0.15">
      <c r="A214" s="87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</row>
    <row r="215" spans="1:30" ht="23" x14ac:dyDescent="0.15">
      <c r="A215" s="87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</row>
    <row r="216" spans="1:30" ht="23" x14ac:dyDescent="0.15">
      <c r="A216" s="87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</row>
    <row r="217" spans="1:30" ht="23" x14ac:dyDescent="0.15">
      <c r="A217" s="87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</row>
    <row r="218" spans="1:30" ht="23" x14ac:dyDescent="0.15">
      <c r="A218" s="87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</row>
    <row r="219" spans="1:30" ht="23" x14ac:dyDescent="0.15">
      <c r="A219" s="87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</row>
    <row r="220" spans="1:30" ht="23" x14ac:dyDescent="0.15">
      <c r="A220" s="87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</row>
    <row r="221" spans="1:30" ht="23" x14ac:dyDescent="0.15">
      <c r="A221" s="87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</row>
    <row r="222" spans="1:30" ht="23" x14ac:dyDescent="0.15">
      <c r="A222" s="87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</row>
    <row r="223" spans="1:30" ht="23" x14ac:dyDescent="0.15">
      <c r="A223" s="87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</row>
    <row r="224" spans="1:30" ht="23" x14ac:dyDescent="0.15">
      <c r="A224" s="87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</row>
    <row r="225" spans="1:30" ht="23" x14ac:dyDescent="0.15">
      <c r="A225" s="87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</row>
    <row r="226" spans="1:30" ht="23" x14ac:dyDescent="0.15">
      <c r="A226" s="87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</row>
    <row r="227" spans="1:30" ht="23" x14ac:dyDescent="0.15">
      <c r="A227" s="87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</row>
    <row r="228" spans="1:30" ht="23" x14ac:dyDescent="0.15">
      <c r="A228" s="87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</row>
    <row r="229" spans="1:30" ht="23" x14ac:dyDescent="0.15">
      <c r="A229" s="87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</row>
    <row r="230" spans="1:30" ht="23" x14ac:dyDescent="0.15">
      <c r="A230" s="87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</row>
    <row r="231" spans="1:30" ht="23" x14ac:dyDescent="0.15">
      <c r="A231" s="87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</row>
    <row r="232" spans="1:30" ht="23" x14ac:dyDescent="0.15">
      <c r="A232" s="87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</row>
    <row r="233" spans="1:30" ht="23" x14ac:dyDescent="0.15">
      <c r="A233" s="87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</row>
    <row r="234" spans="1:30" ht="23" x14ac:dyDescent="0.15">
      <c r="A234" s="87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</row>
    <row r="235" spans="1:30" ht="23" x14ac:dyDescent="0.15">
      <c r="A235" s="87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</row>
    <row r="236" spans="1:30" ht="23" x14ac:dyDescent="0.15">
      <c r="A236" s="87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</row>
    <row r="237" spans="1:30" ht="23" x14ac:dyDescent="0.15">
      <c r="A237" s="87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</row>
    <row r="238" spans="1:30" ht="23" x14ac:dyDescent="0.15">
      <c r="A238" s="87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</row>
    <row r="239" spans="1:30" ht="23" x14ac:dyDescent="0.15">
      <c r="A239" s="87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</row>
    <row r="240" spans="1:30" ht="23" x14ac:dyDescent="0.15">
      <c r="A240" s="87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</row>
    <row r="241" spans="1:30" ht="23" x14ac:dyDescent="0.15">
      <c r="A241" s="87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</row>
    <row r="242" spans="1:30" ht="23" x14ac:dyDescent="0.15">
      <c r="A242" s="87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</row>
    <row r="243" spans="1:30" ht="23" x14ac:dyDescent="0.15">
      <c r="A243" s="87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</row>
    <row r="244" spans="1:30" ht="23" x14ac:dyDescent="0.15">
      <c r="A244" s="87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</row>
    <row r="245" spans="1:30" ht="23" x14ac:dyDescent="0.15">
      <c r="A245" s="87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</row>
    <row r="246" spans="1:30" ht="23" x14ac:dyDescent="0.15">
      <c r="A246" s="87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</row>
    <row r="247" spans="1:30" ht="23" x14ac:dyDescent="0.15">
      <c r="A247" s="87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</row>
    <row r="248" spans="1:30" ht="23" x14ac:dyDescent="0.15">
      <c r="A248" s="87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</row>
    <row r="249" spans="1:30" ht="23" x14ac:dyDescent="0.15">
      <c r="A249" s="87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</row>
    <row r="250" spans="1:30" ht="23" x14ac:dyDescent="0.15">
      <c r="A250" s="87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</row>
    <row r="251" spans="1:30" ht="23" x14ac:dyDescent="0.15">
      <c r="A251" s="87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</row>
    <row r="252" spans="1:30" ht="23" x14ac:dyDescent="0.15">
      <c r="A252" s="87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</row>
    <row r="253" spans="1:30" ht="23" x14ac:dyDescent="0.15">
      <c r="A253" s="87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</row>
    <row r="254" spans="1:30" ht="23" x14ac:dyDescent="0.15">
      <c r="A254" s="87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</row>
    <row r="255" spans="1:30" ht="23" x14ac:dyDescent="0.15">
      <c r="A255" s="87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</row>
    <row r="256" spans="1:30" ht="23" x14ac:dyDescent="0.15">
      <c r="A256" s="87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</row>
    <row r="257" spans="1:30" ht="23" x14ac:dyDescent="0.15">
      <c r="A257" s="87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</row>
    <row r="258" spans="1:30" ht="23" x14ac:dyDescent="0.15">
      <c r="A258" s="87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</row>
    <row r="259" spans="1:30" ht="23" x14ac:dyDescent="0.15">
      <c r="A259" s="87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</row>
    <row r="260" spans="1:30" ht="23" x14ac:dyDescent="0.15">
      <c r="A260" s="87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</row>
    <row r="261" spans="1:30" ht="23" x14ac:dyDescent="0.15">
      <c r="A261" s="87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</row>
    <row r="262" spans="1:30" ht="23" x14ac:dyDescent="0.15">
      <c r="A262" s="87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</row>
    <row r="263" spans="1:30" ht="23" x14ac:dyDescent="0.15">
      <c r="A263" s="87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</row>
    <row r="264" spans="1:30" ht="23" x14ac:dyDescent="0.15">
      <c r="A264" s="87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</row>
    <row r="265" spans="1:30" ht="23" x14ac:dyDescent="0.15">
      <c r="A265" s="87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</row>
    <row r="266" spans="1:30" ht="23" x14ac:dyDescent="0.15">
      <c r="A266" s="87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</row>
    <row r="267" spans="1:30" ht="23" x14ac:dyDescent="0.15">
      <c r="A267" s="87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</row>
    <row r="268" spans="1:30" ht="23" x14ac:dyDescent="0.15">
      <c r="A268" s="87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</row>
    <row r="269" spans="1:30" ht="23" x14ac:dyDescent="0.15">
      <c r="A269" s="87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</row>
    <row r="270" spans="1:30" ht="23" x14ac:dyDescent="0.15">
      <c r="A270" s="87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</row>
    <row r="271" spans="1:30" ht="23" x14ac:dyDescent="0.15">
      <c r="A271" s="87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</row>
    <row r="272" spans="1:30" ht="23" x14ac:dyDescent="0.15">
      <c r="A272" s="87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</row>
    <row r="273" spans="1:30" ht="23" x14ac:dyDescent="0.15">
      <c r="A273" s="87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</row>
    <row r="274" spans="1:30" ht="23" x14ac:dyDescent="0.15">
      <c r="A274" s="87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</row>
    <row r="275" spans="1:30" ht="23" x14ac:dyDescent="0.15">
      <c r="A275" s="87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</row>
    <row r="276" spans="1:30" ht="23" x14ac:dyDescent="0.15">
      <c r="A276" s="87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</row>
    <row r="277" spans="1:30" ht="23" x14ac:dyDescent="0.15">
      <c r="A277" s="87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</row>
    <row r="278" spans="1:30" ht="23" x14ac:dyDescent="0.15">
      <c r="A278" s="87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</row>
    <row r="279" spans="1:30" ht="23" x14ac:dyDescent="0.15">
      <c r="A279" s="87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</row>
    <row r="280" spans="1:30" ht="23" x14ac:dyDescent="0.15">
      <c r="A280" s="87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</row>
    <row r="281" spans="1:30" ht="23" x14ac:dyDescent="0.15">
      <c r="A281" s="87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</row>
    <row r="282" spans="1:30" ht="23" x14ac:dyDescent="0.15">
      <c r="A282" s="87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</row>
    <row r="283" spans="1:30" ht="23" x14ac:dyDescent="0.15">
      <c r="A283" s="87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</row>
    <row r="284" spans="1:30" ht="23" x14ac:dyDescent="0.15">
      <c r="A284" s="87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</row>
    <row r="285" spans="1:30" ht="23" x14ac:dyDescent="0.15">
      <c r="A285" s="87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</row>
    <row r="286" spans="1:30" ht="23" x14ac:dyDescent="0.15">
      <c r="A286" s="87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</row>
    <row r="287" spans="1:30" ht="23" x14ac:dyDescent="0.15">
      <c r="A287" s="87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</row>
    <row r="288" spans="1:30" ht="23" x14ac:dyDescent="0.15">
      <c r="A288" s="87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</row>
    <row r="289" spans="1:30" ht="23" x14ac:dyDescent="0.15">
      <c r="A289" s="87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</row>
    <row r="290" spans="1:30" ht="23" x14ac:dyDescent="0.15">
      <c r="A290" s="87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</row>
    <row r="291" spans="1:30" ht="23" x14ac:dyDescent="0.15">
      <c r="A291" s="87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</row>
    <row r="292" spans="1:30" ht="23" x14ac:dyDescent="0.15">
      <c r="A292" s="87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</row>
    <row r="293" spans="1:30" ht="23" x14ac:dyDescent="0.15">
      <c r="A293" s="87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</row>
    <row r="294" spans="1:30" ht="23" x14ac:dyDescent="0.15">
      <c r="A294" s="87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</row>
    <row r="295" spans="1:30" ht="23" x14ac:dyDescent="0.15">
      <c r="A295" s="87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</row>
    <row r="296" spans="1:30" ht="23" x14ac:dyDescent="0.15">
      <c r="A296" s="87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</row>
    <row r="297" spans="1:30" ht="23" x14ac:dyDescent="0.15">
      <c r="A297" s="87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</row>
    <row r="298" spans="1:30" ht="23" x14ac:dyDescent="0.15">
      <c r="A298" s="87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</row>
    <row r="299" spans="1:30" ht="23" x14ac:dyDescent="0.15">
      <c r="A299" s="87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</row>
    <row r="300" spans="1:30" ht="23" x14ac:dyDescent="0.15">
      <c r="A300" s="87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</row>
    <row r="301" spans="1:30" ht="23" x14ac:dyDescent="0.15">
      <c r="A301" s="87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</row>
    <row r="302" spans="1:30" ht="23" x14ac:dyDescent="0.15">
      <c r="A302" s="87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</row>
    <row r="303" spans="1:30" ht="23" x14ac:dyDescent="0.15">
      <c r="A303" s="87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</row>
    <row r="304" spans="1:30" ht="23" x14ac:dyDescent="0.15">
      <c r="A304" s="87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</row>
    <row r="305" spans="1:30" ht="23" x14ac:dyDescent="0.15">
      <c r="A305" s="87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</row>
    <row r="306" spans="1:30" ht="23" x14ac:dyDescent="0.15">
      <c r="A306" s="87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</row>
    <row r="307" spans="1:30" ht="23" x14ac:dyDescent="0.15">
      <c r="A307" s="87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</row>
    <row r="308" spans="1:30" ht="23" x14ac:dyDescent="0.15">
      <c r="A308" s="87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</row>
    <row r="309" spans="1:30" ht="23" x14ac:dyDescent="0.15">
      <c r="A309" s="87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</row>
    <row r="310" spans="1:30" ht="23" x14ac:dyDescent="0.15">
      <c r="A310" s="87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</row>
    <row r="311" spans="1:30" ht="23" x14ac:dyDescent="0.15">
      <c r="A311" s="87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</row>
    <row r="312" spans="1:30" ht="23" x14ac:dyDescent="0.15">
      <c r="A312" s="87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</row>
    <row r="313" spans="1:30" ht="23" x14ac:dyDescent="0.15">
      <c r="A313" s="87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</row>
    <row r="314" spans="1:30" ht="23" x14ac:dyDescent="0.15">
      <c r="A314" s="87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</row>
    <row r="315" spans="1:30" ht="23" x14ac:dyDescent="0.15">
      <c r="A315" s="87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</row>
    <row r="316" spans="1:30" ht="23" x14ac:dyDescent="0.15">
      <c r="A316" s="87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</row>
    <row r="317" spans="1:30" ht="23" x14ac:dyDescent="0.15">
      <c r="A317" s="87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</row>
    <row r="318" spans="1:30" ht="23" x14ac:dyDescent="0.15">
      <c r="A318" s="87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</row>
    <row r="319" spans="1:30" ht="23" x14ac:dyDescent="0.15">
      <c r="A319" s="87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</row>
    <row r="320" spans="1:30" ht="23" x14ac:dyDescent="0.15">
      <c r="A320" s="87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</row>
    <row r="321" spans="1:30" ht="23" x14ac:dyDescent="0.15">
      <c r="A321" s="87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</row>
    <row r="322" spans="1:30" ht="23" x14ac:dyDescent="0.15">
      <c r="A322" s="87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</row>
    <row r="323" spans="1:30" ht="23" x14ac:dyDescent="0.15">
      <c r="A323" s="87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</row>
    <row r="324" spans="1:30" ht="23" x14ac:dyDescent="0.15">
      <c r="A324" s="87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</row>
    <row r="325" spans="1:30" ht="23" x14ac:dyDescent="0.15">
      <c r="A325" s="87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</row>
    <row r="326" spans="1:30" ht="23" x14ac:dyDescent="0.15">
      <c r="A326" s="87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</row>
    <row r="327" spans="1:30" ht="23" x14ac:dyDescent="0.15">
      <c r="A327" s="87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</row>
    <row r="328" spans="1:30" ht="23" x14ac:dyDescent="0.15">
      <c r="A328" s="87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</row>
    <row r="329" spans="1:30" ht="23" x14ac:dyDescent="0.15">
      <c r="A329" s="87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</row>
    <row r="330" spans="1:30" ht="23" x14ac:dyDescent="0.15">
      <c r="A330" s="87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</row>
    <row r="331" spans="1:30" ht="23" x14ac:dyDescent="0.15">
      <c r="A331" s="87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</row>
    <row r="332" spans="1:30" ht="23" x14ac:dyDescent="0.15">
      <c r="A332" s="87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</row>
    <row r="333" spans="1:30" ht="23" x14ac:dyDescent="0.15">
      <c r="A333" s="87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</row>
    <row r="334" spans="1:30" ht="23" x14ac:dyDescent="0.15">
      <c r="A334" s="87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</row>
    <row r="335" spans="1:30" ht="23" x14ac:dyDescent="0.15">
      <c r="A335" s="87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</row>
    <row r="336" spans="1:30" ht="23" x14ac:dyDescent="0.15">
      <c r="A336" s="87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</row>
    <row r="337" spans="1:30" ht="23" x14ac:dyDescent="0.15">
      <c r="A337" s="87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</row>
    <row r="338" spans="1:30" ht="23" x14ac:dyDescent="0.15">
      <c r="A338" s="87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</row>
    <row r="339" spans="1:30" ht="23" x14ac:dyDescent="0.15">
      <c r="A339" s="87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</row>
    <row r="340" spans="1:30" ht="23" x14ac:dyDescent="0.15">
      <c r="A340" s="87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</row>
    <row r="341" spans="1:30" ht="23" x14ac:dyDescent="0.15">
      <c r="A341" s="87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</row>
    <row r="342" spans="1:30" ht="23" x14ac:dyDescent="0.15">
      <c r="A342" s="87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</row>
    <row r="343" spans="1:30" ht="23" x14ac:dyDescent="0.15">
      <c r="A343" s="87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</row>
    <row r="344" spans="1:30" ht="23" x14ac:dyDescent="0.15">
      <c r="A344" s="87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</row>
    <row r="345" spans="1:30" ht="23" x14ac:dyDescent="0.15">
      <c r="A345" s="87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</row>
    <row r="346" spans="1:30" ht="23" x14ac:dyDescent="0.15">
      <c r="A346" s="87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</row>
    <row r="347" spans="1:30" ht="23" x14ac:dyDescent="0.15">
      <c r="A347" s="87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</row>
    <row r="348" spans="1:30" ht="23" x14ac:dyDescent="0.15">
      <c r="A348" s="87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</row>
    <row r="349" spans="1:30" ht="23" x14ac:dyDescent="0.15">
      <c r="A349" s="87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</row>
    <row r="350" spans="1:30" ht="23" x14ac:dyDescent="0.15">
      <c r="A350" s="87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</row>
    <row r="351" spans="1:30" ht="23" x14ac:dyDescent="0.15">
      <c r="A351" s="87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</row>
    <row r="352" spans="1:30" ht="23" x14ac:dyDescent="0.15">
      <c r="A352" s="87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</row>
    <row r="353" spans="1:30" ht="23" x14ac:dyDescent="0.15">
      <c r="A353" s="87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</row>
    <row r="354" spans="1:30" ht="23" x14ac:dyDescent="0.15">
      <c r="A354" s="87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</row>
    <row r="355" spans="1:30" ht="23" x14ac:dyDescent="0.15">
      <c r="A355" s="87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</row>
    <row r="356" spans="1:30" ht="23" x14ac:dyDescent="0.15">
      <c r="A356" s="87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</row>
    <row r="357" spans="1:30" ht="23" x14ac:dyDescent="0.15">
      <c r="A357" s="87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</row>
    <row r="358" spans="1:30" ht="23" x14ac:dyDescent="0.15">
      <c r="A358" s="87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</row>
    <row r="359" spans="1:30" ht="23" x14ac:dyDescent="0.15">
      <c r="A359" s="87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</row>
    <row r="360" spans="1:30" ht="23" x14ac:dyDescent="0.15">
      <c r="A360" s="87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</row>
    <row r="361" spans="1:30" ht="23" x14ac:dyDescent="0.15">
      <c r="A361" s="87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</row>
    <row r="362" spans="1:30" ht="23" x14ac:dyDescent="0.15">
      <c r="A362" s="87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</row>
    <row r="363" spans="1:30" ht="23" x14ac:dyDescent="0.15">
      <c r="A363" s="87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</row>
    <row r="364" spans="1:30" ht="23" x14ac:dyDescent="0.15">
      <c r="A364" s="87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</row>
    <row r="365" spans="1:30" ht="23" x14ac:dyDescent="0.15">
      <c r="A365" s="87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</row>
    <row r="366" spans="1:30" ht="23" x14ac:dyDescent="0.15">
      <c r="A366" s="87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</row>
    <row r="367" spans="1:30" ht="23" x14ac:dyDescent="0.15">
      <c r="A367" s="87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</row>
    <row r="368" spans="1:30" ht="23" x14ac:dyDescent="0.15">
      <c r="A368" s="87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</row>
    <row r="369" spans="1:30" ht="23" x14ac:dyDescent="0.15">
      <c r="A369" s="87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</row>
    <row r="370" spans="1:30" ht="23" x14ac:dyDescent="0.15">
      <c r="A370" s="87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</row>
    <row r="371" spans="1:30" ht="23" x14ac:dyDescent="0.15">
      <c r="A371" s="87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</row>
    <row r="372" spans="1:30" ht="23" x14ac:dyDescent="0.15">
      <c r="A372" s="87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</row>
    <row r="373" spans="1:30" ht="23" x14ac:dyDescent="0.15">
      <c r="A373" s="87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</row>
    <row r="374" spans="1:30" ht="23" x14ac:dyDescent="0.15">
      <c r="A374" s="87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</row>
    <row r="375" spans="1:30" ht="23" x14ac:dyDescent="0.15">
      <c r="A375" s="87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</row>
    <row r="376" spans="1:30" ht="23" x14ac:dyDescent="0.15">
      <c r="A376" s="87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</row>
    <row r="377" spans="1:30" ht="23" x14ac:dyDescent="0.15">
      <c r="A377" s="87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</row>
    <row r="378" spans="1:30" ht="23" x14ac:dyDescent="0.15">
      <c r="A378" s="87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</row>
    <row r="379" spans="1:30" ht="23" x14ac:dyDescent="0.15">
      <c r="A379" s="87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</row>
    <row r="380" spans="1:30" ht="23" x14ac:dyDescent="0.15">
      <c r="A380" s="87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</row>
    <row r="381" spans="1:30" ht="23" x14ac:dyDescent="0.15">
      <c r="A381" s="87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</row>
    <row r="382" spans="1:30" ht="23" x14ac:dyDescent="0.15">
      <c r="A382" s="87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</row>
    <row r="383" spans="1:30" ht="23" x14ac:dyDescent="0.15">
      <c r="A383" s="87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</row>
    <row r="384" spans="1:30" ht="23" x14ac:dyDescent="0.15">
      <c r="A384" s="87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</row>
    <row r="385" spans="1:30" ht="23" x14ac:dyDescent="0.15">
      <c r="A385" s="87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</row>
    <row r="386" spans="1:30" ht="23" x14ac:dyDescent="0.15">
      <c r="A386" s="87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</row>
    <row r="387" spans="1:30" ht="23" x14ac:dyDescent="0.15">
      <c r="A387" s="87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</row>
    <row r="388" spans="1:30" ht="23" x14ac:dyDescent="0.15">
      <c r="A388" s="87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</row>
    <row r="389" spans="1:30" ht="23" x14ac:dyDescent="0.15">
      <c r="A389" s="87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</row>
    <row r="390" spans="1:30" ht="23" x14ac:dyDescent="0.15">
      <c r="A390" s="87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</row>
    <row r="391" spans="1:30" ht="23" x14ac:dyDescent="0.15">
      <c r="A391" s="87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</row>
    <row r="392" spans="1:30" ht="23" x14ac:dyDescent="0.15">
      <c r="A392" s="87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</row>
    <row r="393" spans="1:30" ht="23" x14ac:dyDescent="0.15">
      <c r="A393" s="87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</row>
    <row r="394" spans="1:30" ht="23" x14ac:dyDescent="0.15">
      <c r="A394" s="87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</row>
    <row r="395" spans="1:30" ht="23" x14ac:dyDescent="0.15">
      <c r="A395" s="87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</row>
    <row r="396" spans="1:30" ht="23" x14ac:dyDescent="0.15">
      <c r="A396" s="87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</row>
    <row r="397" spans="1:30" ht="23" x14ac:dyDescent="0.15">
      <c r="A397" s="87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</row>
    <row r="398" spans="1:30" ht="23" x14ac:dyDescent="0.15">
      <c r="A398" s="87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</row>
    <row r="399" spans="1:30" ht="23" x14ac:dyDescent="0.15">
      <c r="A399" s="87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</row>
    <row r="400" spans="1:30" ht="23" x14ac:dyDescent="0.15">
      <c r="A400" s="87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</row>
    <row r="401" spans="1:30" ht="23" x14ac:dyDescent="0.15">
      <c r="A401" s="87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</row>
    <row r="402" spans="1:30" ht="23" x14ac:dyDescent="0.15">
      <c r="A402" s="87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</row>
    <row r="403" spans="1:30" ht="23" x14ac:dyDescent="0.15">
      <c r="A403" s="87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</row>
    <row r="404" spans="1:30" ht="23" x14ac:dyDescent="0.15">
      <c r="A404" s="87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</row>
    <row r="405" spans="1:30" ht="23" x14ac:dyDescent="0.15">
      <c r="A405" s="87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</row>
    <row r="406" spans="1:30" ht="23" x14ac:dyDescent="0.15">
      <c r="A406" s="87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</row>
    <row r="407" spans="1:30" ht="23" x14ac:dyDescent="0.15">
      <c r="A407" s="87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</row>
    <row r="408" spans="1:30" ht="23" x14ac:dyDescent="0.15">
      <c r="A408" s="87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</row>
    <row r="409" spans="1:30" ht="23" x14ac:dyDescent="0.15">
      <c r="A409" s="87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</row>
    <row r="410" spans="1:30" ht="23" x14ac:dyDescent="0.15">
      <c r="A410" s="87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</row>
    <row r="411" spans="1:30" ht="23" x14ac:dyDescent="0.15">
      <c r="A411" s="87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</row>
    <row r="412" spans="1:30" ht="23" x14ac:dyDescent="0.15">
      <c r="A412" s="87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</row>
    <row r="413" spans="1:30" ht="23" x14ac:dyDescent="0.15">
      <c r="A413" s="87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</row>
    <row r="414" spans="1:30" ht="23" x14ac:dyDescent="0.15">
      <c r="A414" s="87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</row>
    <row r="415" spans="1:30" ht="23" x14ac:dyDescent="0.15">
      <c r="A415" s="87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</row>
    <row r="416" spans="1:30" ht="23" x14ac:dyDescent="0.15">
      <c r="A416" s="87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</row>
    <row r="417" spans="1:30" ht="23" x14ac:dyDescent="0.15">
      <c r="A417" s="87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</row>
    <row r="418" spans="1:30" ht="23" x14ac:dyDescent="0.15">
      <c r="A418" s="87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</row>
    <row r="419" spans="1:30" ht="23" x14ac:dyDescent="0.15">
      <c r="A419" s="87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</row>
    <row r="420" spans="1:30" ht="23" x14ac:dyDescent="0.15">
      <c r="A420" s="87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</row>
    <row r="421" spans="1:30" ht="23" x14ac:dyDescent="0.15">
      <c r="A421" s="87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</row>
    <row r="422" spans="1:30" ht="23" x14ac:dyDescent="0.15">
      <c r="A422" s="87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</row>
    <row r="423" spans="1:30" ht="23" x14ac:dyDescent="0.15">
      <c r="A423" s="87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</row>
    <row r="424" spans="1:30" ht="23" x14ac:dyDescent="0.15">
      <c r="A424" s="87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</row>
    <row r="425" spans="1:30" ht="23" x14ac:dyDescent="0.15">
      <c r="A425" s="87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</row>
    <row r="426" spans="1:30" ht="23" x14ac:dyDescent="0.15">
      <c r="A426" s="87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</row>
    <row r="427" spans="1:30" ht="23" x14ac:dyDescent="0.15">
      <c r="A427" s="87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</row>
    <row r="428" spans="1:30" ht="23" x14ac:dyDescent="0.15">
      <c r="A428" s="87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</row>
    <row r="429" spans="1:30" ht="23" x14ac:dyDescent="0.15">
      <c r="A429" s="87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</row>
    <row r="430" spans="1:30" ht="23" x14ac:dyDescent="0.15">
      <c r="A430" s="87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</row>
    <row r="431" spans="1:30" ht="23" x14ac:dyDescent="0.15">
      <c r="A431" s="87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</row>
    <row r="432" spans="1:30" ht="23" x14ac:dyDescent="0.15">
      <c r="A432" s="87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</row>
    <row r="433" spans="1:30" ht="23" x14ac:dyDescent="0.15">
      <c r="A433" s="87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</row>
    <row r="434" spans="1:30" ht="23" x14ac:dyDescent="0.15">
      <c r="A434" s="87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</row>
    <row r="435" spans="1:30" ht="23" x14ac:dyDescent="0.15">
      <c r="A435" s="87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</row>
    <row r="436" spans="1:30" ht="23" x14ac:dyDescent="0.15">
      <c r="A436" s="87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</row>
    <row r="437" spans="1:30" ht="23" x14ac:dyDescent="0.15">
      <c r="A437" s="87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</row>
    <row r="438" spans="1:30" ht="23" x14ac:dyDescent="0.15">
      <c r="A438" s="87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</row>
    <row r="439" spans="1:30" ht="23" x14ac:dyDescent="0.15">
      <c r="A439" s="87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</row>
    <row r="440" spans="1:30" ht="23" x14ac:dyDescent="0.15">
      <c r="A440" s="87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</row>
    <row r="441" spans="1:30" ht="23" x14ac:dyDescent="0.15">
      <c r="A441" s="87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</row>
    <row r="442" spans="1:30" ht="23" x14ac:dyDescent="0.15">
      <c r="A442" s="87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</row>
    <row r="443" spans="1:30" ht="23" x14ac:dyDescent="0.15">
      <c r="A443" s="87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</row>
    <row r="444" spans="1:30" ht="23" x14ac:dyDescent="0.15">
      <c r="A444" s="87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</row>
    <row r="445" spans="1:30" ht="23" x14ac:dyDescent="0.15">
      <c r="A445" s="87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</row>
    <row r="446" spans="1:30" ht="23" x14ac:dyDescent="0.15">
      <c r="A446" s="87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</row>
    <row r="447" spans="1:30" ht="23" x14ac:dyDescent="0.15">
      <c r="A447" s="87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</row>
    <row r="448" spans="1:30" ht="23" x14ac:dyDescent="0.15">
      <c r="A448" s="87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</row>
    <row r="449" spans="1:30" ht="23" x14ac:dyDescent="0.15">
      <c r="A449" s="87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</row>
    <row r="450" spans="1:30" ht="23" x14ac:dyDescent="0.15">
      <c r="A450" s="87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</row>
    <row r="451" spans="1:30" ht="23" x14ac:dyDescent="0.15">
      <c r="A451" s="87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</row>
    <row r="452" spans="1:30" ht="23" x14ac:dyDescent="0.15">
      <c r="A452" s="87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</row>
    <row r="453" spans="1:30" ht="23" x14ac:dyDescent="0.15">
      <c r="A453" s="87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</row>
    <row r="454" spans="1:30" ht="23" x14ac:dyDescent="0.15">
      <c r="A454" s="87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</row>
    <row r="455" spans="1:30" ht="23" x14ac:dyDescent="0.15">
      <c r="A455" s="87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</row>
    <row r="456" spans="1:30" ht="23" x14ac:dyDescent="0.15">
      <c r="A456" s="87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</row>
    <row r="457" spans="1:30" ht="23" x14ac:dyDescent="0.15">
      <c r="A457" s="87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</row>
    <row r="458" spans="1:30" ht="23" x14ac:dyDescent="0.15">
      <c r="A458" s="87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</row>
    <row r="459" spans="1:30" ht="23" x14ac:dyDescent="0.15">
      <c r="A459" s="87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</row>
    <row r="460" spans="1:30" ht="23" x14ac:dyDescent="0.15">
      <c r="A460" s="87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</row>
    <row r="461" spans="1:30" ht="23" x14ac:dyDescent="0.15">
      <c r="A461" s="87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</row>
    <row r="462" spans="1:30" ht="23" x14ac:dyDescent="0.15">
      <c r="A462" s="87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</row>
    <row r="463" spans="1:30" ht="23" x14ac:dyDescent="0.15">
      <c r="A463" s="87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</row>
    <row r="464" spans="1:30" ht="23" x14ac:dyDescent="0.15">
      <c r="A464" s="87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</row>
    <row r="465" spans="1:30" ht="23" x14ac:dyDescent="0.15">
      <c r="A465" s="87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</row>
    <row r="466" spans="1:30" ht="23" x14ac:dyDescent="0.15">
      <c r="A466" s="87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</row>
    <row r="467" spans="1:30" ht="23" x14ac:dyDescent="0.15">
      <c r="A467" s="87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</row>
    <row r="468" spans="1:30" ht="23" x14ac:dyDescent="0.15">
      <c r="A468" s="87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</row>
    <row r="469" spans="1:30" ht="23" x14ac:dyDescent="0.15">
      <c r="A469" s="87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</row>
    <row r="470" spans="1:30" ht="23" x14ac:dyDescent="0.15">
      <c r="A470" s="87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</row>
    <row r="471" spans="1:30" ht="23" x14ac:dyDescent="0.15">
      <c r="A471" s="87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</row>
    <row r="472" spans="1:30" ht="23" x14ac:dyDescent="0.15">
      <c r="A472" s="87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</row>
    <row r="473" spans="1:30" ht="23" x14ac:dyDescent="0.15">
      <c r="A473" s="87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</row>
    <row r="474" spans="1:30" ht="23" x14ac:dyDescent="0.15">
      <c r="A474" s="87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</row>
    <row r="475" spans="1:30" ht="23" x14ac:dyDescent="0.15">
      <c r="A475" s="87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</row>
    <row r="476" spans="1:30" ht="23" x14ac:dyDescent="0.15">
      <c r="A476" s="87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</row>
    <row r="477" spans="1:30" ht="23" x14ac:dyDescent="0.15">
      <c r="A477" s="87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</row>
    <row r="478" spans="1:30" ht="23" x14ac:dyDescent="0.15">
      <c r="A478" s="87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</row>
    <row r="479" spans="1:30" ht="23" x14ac:dyDescent="0.15">
      <c r="A479" s="87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</row>
    <row r="480" spans="1:30" ht="23" x14ac:dyDescent="0.15">
      <c r="A480" s="87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</row>
    <row r="481" spans="1:30" ht="23" x14ac:dyDescent="0.15">
      <c r="A481" s="87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</row>
    <row r="482" spans="1:30" ht="23" x14ac:dyDescent="0.15">
      <c r="A482" s="87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</row>
    <row r="483" spans="1:30" ht="23" x14ac:dyDescent="0.15">
      <c r="A483" s="87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</row>
    <row r="484" spans="1:30" ht="23" x14ac:dyDescent="0.15">
      <c r="A484" s="87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</row>
    <row r="485" spans="1:30" ht="23" x14ac:dyDescent="0.15">
      <c r="A485" s="87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</row>
    <row r="486" spans="1:30" ht="23" x14ac:dyDescent="0.15">
      <c r="A486" s="87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</row>
    <row r="487" spans="1:30" ht="23" x14ac:dyDescent="0.15">
      <c r="A487" s="87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</row>
    <row r="488" spans="1:30" ht="23" x14ac:dyDescent="0.15">
      <c r="A488" s="87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</row>
    <row r="489" spans="1:30" ht="23" x14ac:dyDescent="0.15">
      <c r="A489" s="87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</row>
    <row r="490" spans="1:30" ht="23" x14ac:dyDescent="0.15">
      <c r="A490" s="87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</row>
    <row r="491" spans="1:30" ht="23" x14ac:dyDescent="0.15">
      <c r="A491" s="87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</row>
    <row r="492" spans="1:30" ht="23" x14ac:dyDescent="0.15">
      <c r="A492" s="87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</row>
    <row r="493" spans="1:30" ht="23" x14ac:dyDescent="0.15">
      <c r="A493" s="87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</row>
    <row r="494" spans="1:30" ht="23" x14ac:dyDescent="0.15">
      <c r="A494" s="87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</row>
    <row r="495" spans="1:30" ht="23" x14ac:dyDescent="0.15">
      <c r="A495" s="87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</row>
    <row r="496" spans="1:30" ht="23" x14ac:dyDescent="0.15">
      <c r="A496" s="87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</row>
    <row r="497" spans="1:30" ht="23" x14ac:dyDescent="0.15">
      <c r="A497" s="87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</row>
    <row r="498" spans="1:30" ht="23" x14ac:dyDescent="0.15">
      <c r="A498" s="87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</row>
    <row r="499" spans="1:30" ht="23" x14ac:dyDescent="0.15">
      <c r="A499" s="87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</row>
    <row r="500" spans="1:30" ht="23" x14ac:dyDescent="0.15">
      <c r="A500" s="87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</row>
    <row r="501" spans="1:30" ht="23" x14ac:dyDescent="0.15">
      <c r="A501" s="87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</row>
    <row r="502" spans="1:30" ht="23" x14ac:dyDescent="0.15">
      <c r="A502" s="87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</row>
    <row r="503" spans="1:30" ht="23" x14ac:dyDescent="0.15">
      <c r="A503" s="87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</row>
    <row r="504" spans="1:30" ht="23" x14ac:dyDescent="0.15">
      <c r="A504" s="87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</row>
    <row r="505" spans="1:30" ht="23" x14ac:dyDescent="0.15">
      <c r="A505" s="87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</row>
    <row r="506" spans="1:30" ht="23" x14ac:dyDescent="0.15">
      <c r="A506" s="87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</row>
    <row r="507" spans="1:30" ht="23" x14ac:dyDescent="0.15">
      <c r="A507" s="87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</row>
    <row r="508" spans="1:30" ht="23" x14ac:dyDescent="0.15">
      <c r="A508" s="87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</row>
    <row r="509" spans="1:30" ht="23" x14ac:dyDescent="0.15">
      <c r="A509" s="87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</row>
    <row r="510" spans="1:30" ht="23" x14ac:dyDescent="0.15">
      <c r="A510" s="87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</row>
    <row r="511" spans="1:30" ht="23" x14ac:dyDescent="0.15">
      <c r="A511" s="87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</row>
    <row r="512" spans="1:30" ht="23" x14ac:dyDescent="0.15">
      <c r="A512" s="87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</row>
    <row r="513" spans="1:30" ht="23" x14ac:dyDescent="0.15">
      <c r="A513" s="87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</row>
    <row r="514" spans="1:30" ht="23" x14ac:dyDescent="0.15">
      <c r="A514" s="87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</row>
    <row r="515" spans="1:30" ht="23" x14ac:dyDescent="0.15">
      <c r="A515" s="87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</row>
    <row r="516" spans="1:30" ht="23" x14ac:dyDescent="0.15">
      <c r="A516" s="87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</row>
    <row r="517" spans="1:30" ht="23" x14ac:dyDescent="0.15">
      <c r="A517" s="87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</row>
    <row r="518" spans="1:30" ht="23" x14ac:dyDescent="0.15">
      <c r="A518" s="87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</row>
    <row r="519" spans="1:30" ht="23" x14ac:dyDescent="0.15">
      <c r="A519" s="87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</row>
    <row r="520" spans="1:30" ht="23" x14ac:dyDescent="0.15">
      <c r="A520" s="87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</row>
    <row r="521" spans="1:30" ht="23" x14ac:dyDescent="0.15">
      <c r="A521" s="87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</row>
    <row r="522" spans="1:30" ht="23" x14ac:dyDescent="0.15">
      <c r="A522" s="87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</row>
    <row r="523" spans="1:30" ht="23" x14ac:dyDescent="0.15">
      <c r="A523" s="87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</row>
    <row r="524" spans="1:30" ht="23" x14ac:dyDescent="0.15">
      <c r="A524" s="87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</row>
    <row r="525" spans="1:30" ht="23" x14ac:dyDescent="0.15">
      <c r="A525" s="87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</row>
    <row r="526" spans="1:30" ht="23" x14ac:dyDescent="0.15">
      <c r="A526" s="87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</row>
    <row r="527" spans="1:30" ht="23" x14ac:dyDescent="0.15">
      <c r="A527" s="87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</row>
    <row r="528" spans="1:30" ht="23" x14ac:dyDescent="0.15">
      <c r="A528" s="87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</row>
    <row r="529" spans="1:30" ht="23" x14ac:dyDescent="0.15">
      <c r="A529" s="87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</row>
    <row r="530" spans="1:30" ht="23" x14ac:dyDescent="0.15">
      <c r="A530" s="87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</row>
    <row r="531" spans="1:30" ht="23" x14ac:dyDescent="0.15">
      <c r="A531" s="87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</row>
    <row r="532" spans="1:30" ht="23" x14ac:dyDescent="0.15">
      <c r="A532" s="87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</row>
    <row r="533" spans="1:30" ht="23" x14ac:dyDescent="0.15">
      <c r="A533" s="87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</row>
    <row r="534" spans="1:30" ht="23" x14ac:dyDescent="0.15">
      <c r="A534" s="87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</row>
    <row r="535" spans="1:30" ht="23" x14ac:dyDescent="0.15">
      <c r="A535" s="87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</row>
    <row r="536" spans="1:30" ht="23" x14ac:dyDescent="0.15">
      <c r="A536" s="87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</row>
    <row r="537" spans="1:30" ht="23" x14ac:dyDescent="0.15">
      <c r="A537" s="87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</row>
    <row r="538" spans="1:30" ht="23" x14ac:dyDescent="0.15">
      <c r="A538" s="87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</row>
    <row r="539" spans="1:30" ht="23" x14ac:dyDescent="0.15">
      <c r="A539" s="87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</row>
    <row r="540" spans="1:30" ht="23" x14ac:dyDescent="0.15">
      <c r="A540" s="87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</row>
    <row r="541" spans="1:30" ht="23" x14ac:dyDescent="0.15">
      <c r="A541" s="87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</row>
    <row r="542" spans="1:30" ht="23" x14ac:dyDescent="0.15">
      <c r="A542" s="87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</row>
    <row r="543" spans="1:30" ht="23" x14ac:dyDescent="0.15">
      <c r="A543" s="87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</row>
    <row r="544" spans="1:30" ht="23" x14ac:dyDescent="0.15">
      <c r="A544" s="87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</row>
    <row r="545" spans="1:30" ht="23" x14ac:dyDescent="0.15">
      <c r="A545" s="87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</row>
    <row r="546" spans="1:30" ht="23" x14ac:dyDescent="0.15">
      <c r="A546" s="87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</row>
    <row r="547" spans="1:30" ht="23" x14ac:dyDescent="0.15">
      <c r="A547" s="87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</row>
    <row r="548" spans="1:30" ht="23" x14ac:dyDescent="0.15">
      <c r="A548" s="87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</row>
    <row r="549" spans="1:30" ht="23" x14ac:dyDescent="0.15">
      <c r="A549" s="87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</row>
    <row r="550" spans="1:30" ht="23" x14ac:dyDescent="0.15">
      <c r="A550" s="87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</row>
    <row r="551" spans="1:30" ht="23" x14ac:dyDescent="0.15">
      <c r="A551" s="87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</row>
    <row r="552" spans="1:30" ht="23" x14ac:dyDescent="0.15">
      <c r="A552" s="87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</row>
    <row r="553" spans="1:30" ht="23" x14ac:dyDescent="0.15">
      <c r="A553" s="87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</row>
    <row r="554" spans="1:30" ht="23" x14ac:dyDescent="0.15">
      <c r="A554" s="87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</row>
    <row r="555" spans="1:30" ht="23" x14ac:dyDescent="0.15">
      <c r="A555" s="87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</row>
    <row r="556" spans="1:30" ht="23" x14ac:dyDescent="0.15">
      <c r="A556" s="87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</row>
    <row r="557" spans="1:30" ht="23" x14ac:dyDescent="0.15">
      <c r="A557" s="87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</row>
    <row r="558" spans="1:30" ht="23" x14ac:dyDescent="0.15">
      <c r="A558" s="87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</row>
    <row r="559" spans="1:30" ht="23" x14ac:dyDescent="0.15">
      <c r="A559" s="87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</row>
    <row r="560" spans="1:30" ht="23" x14ac:dyDescent="0.15">
      <c r="A560" s="87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</row>
    <row r="561" spans="1:30" ht="23" x14ac:dyDescent="0.15">
      <c r="A561" s="87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</row>
    <row r="562" spans="1:30" ht="23" x14ac:dyDescent="0.15">
      <c r="A562" s="87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</row>
    <row r="563" spans="1:30" ht="23" x14ac:dyDescent="0.15">
      <c r="A563" s="87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</row>
    <row r="564" spans="1:30" ht="23" x14ac:dyDescent="0.15">
      <c r="A564" s="87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</row>
    <row r="565" spans="1:30" ht="23" x14ac:dyDescent="0.15">
      <c r="A565" s="87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</row>
    <row r="566" spans="1:30" ht="23" x14ac:dyDescent="0.15">
      <c r="A566" s="87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</row>
    <row r="567" spans="1:30" ht="23" x14ac:dyDescent="0.15">
      <c r="A567" s="87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</row>
    <row r="568" spans="1:30" ht="23" x14ac:dyDescent="0.15">
      <c r="A568" s="87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</row>
    <row r="569" spans="1:30" ht="23" x14ac:dyDescent="0.15">
      <c r="A569" s="87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</row>
    <row r="570" spans="1:30" ht="23" x14ac:dyDescent="0.15">
      <c r="A570" s="87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</row>
    <row r="571" spans="1:30" ht="23" x14ac:dyDescent="0.15">
      <c r="A571" s="87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</row>
    <row r="572" spans="1:30" ht="23" x14ac:dyDescent="0.15">
      <c r="A572" s="87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</row>
    <row r="573" spans="1:30" ht="23" x14ac:dyDescent="0.15">
      <c r="A573" s="87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</row>
    <row r="574" spans="1:30" ht="23" x14ac:dyDescent="0.15">
      <c r="A574" s="87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</row>
    <row r="575" spans="1:30" ht="23" x14ac:dyDescent="0.15">
      <c r="A575" s="87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</row>
    <row r="576" spans="1:30" ht="23" x14ac:dyDescent="0.15">
      <c r="A576" s="87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</row>
    <row r="577" spans="1:30" ht="23" x14ac:dyDescent="0.15">
      <c r="A577" s="87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</row>
    <row r="578" spans="1:30" ht="23" x14ac:dyDescent="0.15">
      <c r="A578" s="87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</row>
    <row r="579" spans="1:30" ht="23" x14ac:dyDescent="0.15">
      <c r="A579" s="87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</row>
    <row r="580" spans="1:30" ht="23" x14ac:dyDescent="0.15">
      <c r="A580" s="87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</row>
    <row r="581" spans="1:30" ht="23" x14ac:dyDescent="0.15">
      <c r="A581" s="87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</row>
    <row r="582" spans="1:30" ht="23" x14ac:dyDescent="0.15">
      <c r="A582" s="87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</row>
    <row r="583" spans="1:30" ht="23" x14ac:dyDescent="0.15">
      <c r="A583" s="87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</row>
    <row r="584" spans="1:30" ht="23" x14ac:dyDescent="0.15">
      <c r="A584" s="87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</row>
    <row r="585" spans="1:30" ht="23" x14ac:dyDescent="0.15">
      <c r="A585" s="87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</row>
    <row r="586" spans="1:30" ht="23" x14ac:dyDescent="0.15">
      <c r="A586" s="87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</row>
    <row r="587" spans="1:30" ht="23" x14ac:dyDescent="0.15">
      <c r="A587" s="87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</row>
    <row r="588" spans="1:30" ht="23" x14ac:dyDescent="0.15">
      <c r="A588" s="87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</row>
    <row r="589" spans="1:30" ht="23" x14ac:dyDescent="0.15">
      <c r="A589" s="87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</row>
    <row r="590" spans="1:30" ht="23" x14ac:dyDescent="0.15">
      <c r="A590" s="87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</row>
    <row r="591" spans="1:30" ht="23" x14ac:dyDescent="0.15">
      <c r="A591" s="87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</row>
    <row r="592" spans="1:30" ht="23" x14ac:dyDescent="0.15">
      <c r="A592" s="87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</row>
    <row r="593" spans="1:30" ht="23" x14ac:dyDescent="0.15">
      <c r="A593" s="87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</row>
    <row r="594" spans="1:30" ht="23" x14ac:dyDescent="0.15">
      <c r="A594" s="87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</row>
    <row r="595" spans="1:30" ht="23" x14ac:dyDescent="0.15">
      <c r="A595" s="87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</row>
    <row r="596" spans="1:30" ht="23" x14ac:dyDescent="0.15">
      <c r="A596" s="87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</row>
    <row r="597" spans="1:30" ht="23" x14ac:dyDescent="0.15">
      <c r="A597" s="87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</row>
    <row r="598" spans="1:30" ht="23" x14ac:dyDescent="0.15">
      <c r="A598" s="87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</row>
    <row r="599" spans="1:30" ht="23" x14ac:dyDescent="0.15">
      <c r="A599" s="87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</row>
    <row r="600" spans="1:30" ht="23" x14ac:dyDescent="0.15">
      <c r="A600" s="87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</row>
    <row r="601" spans="1:30" ht="23" x14ac:dyDescent="0.15">
      <c r="A601" s="87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</row>
    <row r="602" spans="1:30" ht="23" x14ac:dyDescent="0.15">
      <c r="A602" s="87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</row>
    <row r="603" spans="1:30" ht="23" x14ac:dyDescent="0.15">
      <c r="A603" s="87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</row>
    <row r="604" spans="1:30" ht="23" x14ac:dyDescent="0.15">
      <c r="A604" s="87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</row>
    <row r="605" spans="1:30" ht="23" x14ac:dyDescent="0.15">
      <c r="A605" s="87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</row>
    <row r="606" spans="1:30" ht="23" x14ac:dyDescent="0.15">
      <c r="A606" s="87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</row>
    <row r="607" spans="1:30" ht="23" x14ac:dyDescent="0.15">
      <c r="A607" s="87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</row>
    <row r="608" spans="1:30" ht="23" x14ac:dyDescent="0.15">
      <c r="A608" s="87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</row>
    <row r="609" spans="1:30" ht="23" x14ac:dyDescent="0.15">
      <c r="A609" s="87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</row>
    <row r="610" spans="1:30" ht="23" x14ac:dyDescent="0.15">
      <c r="A610" s="87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</row>
    <row r="611" spans="1:30" ht="23" x14ac:dyDescent="0.15">
      <c r="A611" s="87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</row>
    <row r="612" spans="1:30" ht="23" x14ac:dyDescent="0.15">
      <c r="A612" s="87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</row>
    <row r="613" spans="1:30" ht="23" x14ac:dyDescent="0.15">
      <c r="A613" s="87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</row>
    <row r="614" spans="1:30" ht="23" x14ac:dyDescent="0.15">
      <c r="A614" s="87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</row>
    <row r="615" spans="1:30" ht="23" x14ac:dyDescent="0.15">
      <c r="A615" s="87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</row>
    <row r="616" spans="1:30" ht="23" x14ac:dyDescent="0.15">
      <c r="A616" s="87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</row>
    <row r="617" spans="1:30" ht="23" x14ac:dyDescent="0.15">
      <c r="A617" s="87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</row>
    <row r="618" spans="1:30" ht="23" x14ac:dyDescent="0.15">
      <c r="A618" s="87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</row>
    <row r="619" spans="1:30" ht="23" x14ac:dyDescent="0.15">
      <c r="A619" s="87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</row>
    <row r="620" spans="1:30" ht="23" x14ac:dyDescent="0.15">
      <c r="A620" s="87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</row>
    <row r="621" spans="1:30" ht="23" x14ac:dyDescent="0.15">
      <c r="A621" s="87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</row>
    <row r="622" spans="1:30" ht="23" x14ac:dyDescent="0.15">
      <c r="A622" s="87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</row>
    <row r="623" spans="1:30" ht="23" x14ac:dyDescent="0.15">
      <c r="A623" s="87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</row>
    <row r="624" spans="1:30" ht="23" x14ac:dyDescent="0.15">
      <c r="A624" s="87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</row>
    <row r="625" spans="1:30" ht="23" x14ac:dyDescent="0.15">
      <c r="A625" s="87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</row>
    <row r="626" spans="1:30" ht="23" x14ac:dyDescent="0.15">
      <c r="A626" s="87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</row>
    <row r="627" spans="1:30" ht="23" x14ac:dyDescent="0.15">
      <c r="A627" s="87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</row>
    <row r="628" spans="1:30" ht="23" x14ac:dyDescent="0.15">
      <c r="A628" s="87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</row>
    <row r="629" spans="1:30" ht="23" x14ac:dyDescent="0.15">
      <c r="A629" s="87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</row>
    <row r="630" spans="1:30" ht="23" x14ac:dyDescent="0.15">
      <c r="A630" s="87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</row>
    <row r="631" spans="1:30" ht="23" x14ac:dyDescent="0.15">
      <c r="A631" s="87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</row>
    <row r="632" spans="1:30" ht="23" x14ac:dyDescent="0.15">
      <c r="A632" s="87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</row>
    <row r="633" spans="1:30" ht="23" x14ac:dyDescent="0.15">
      <c r="A633" s="87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</row>
    <row r="634" spans="1:30" ht="23" x14ac:dyDescent="0.15">
      <c r="A634" s="87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</row>
    <row r="635" spans="1:30" ht="23" x14ac:dyDescent="0.15">
      <c r="A635" s="87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</row>
    <row r="636" spans="1:30" ht="23" x14ac:dyDescent="0.15">
      <c r="A636" s="87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</row>
    <row r="637" spans="1:30" ht="23" x14ac:dyDescent="0.15">
      <c r="A637" s="87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</row>
    <row r="638" spans="1:30" ht="23" x14ac:dyDescent="0.15">
      <c r="A638" s="87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</row>
    <row r="639" spans="1:30" ht="23" x14ac:dyDescent="0.15">
      <c r="A639" s="87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</row>
    <row r="640" spans="1:30" ht="23" x14ac:dyDescent="0.15">
      <c r="A640" s="87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</row>
    <row r="641" spans="1:30" ht="23" x14ac:dyDescent="0.15">
      <c r="A641" s="87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</row>
    <row r="642" spans="1:30" ht="23" x14ac:dyDescent="0.15">
      <c r="A642" s="87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</row>
    <row r="643" spans="1:30" ht="23" x14ac:dyDescent="0.15">
      <c r="A643" s="87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</row>
    <row r="644" spans="1:30" ht="23" x14ac:dyDescent="0.15">
      <c r="A644" s="87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</row>
    <row r="645" spans="1:30" ht="23" x14ac:dyDescent="0.15">
      <c r="A645" s="87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</row>
    <row r="646" spans="1:30" ht="23" x14ac:dyDescent="0.15">
      <c r="A646" s="87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</row>
    <row r="647" spans="1:30" ht="23" x14ac:dyDescent="0.15">
      <c r="A647" s="87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</row>
    <row r="648" spans="1:30" ht="23" x14ac:dyDescent="0.15">
      <c r="A648" s="87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</row>
    <row r="649" spans="1:30" ht="23" x14ac:dyDescent="0.15">
      <c r="A649" s="87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  <c r="AD649" s="88"/>
    </row>
    <row r="650" spans="1:30" ht="23" x14ac:dyDescent="0.15">
      <c r="A650" s="87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  <c r="AC650" s="88"/>
      <c r="AD650" s="88"/>
    </row>
    <row r="651" spans="1:30" ht="23" x14ac:dyDescent="0.15">
      <c r="A651" s="87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  <c r="AD651" s="88"/>
    </row>
    <row r="652" spans="1:30" ht="23" x14ac:dyDescent="0.15">
      <c r="A652" s="87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  <c r="AD652" s="88"/>
    </row>
    <row r="653" spans="1:30" ht="23" x14ac:dyDescent="0.15">
      <c r="A653" s="87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</row>
    <row r="654" spans="1:30" ht="23" x14ac:dyDescent="0.15">
      <c r="A654" s="87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  <c r="AD654" s="88"/>
    </row>
    <row r="655" spans="1:30" ht="23" x14ac:dyDescent="0.15">
      <c r="A655" s="87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</row>
    <row r="656" spans="1:30" ht="23" x14ac:dyDescent="0.15">
      <c r="A656" s="87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  <c r="AD656" s="88"/>
    </row>
    <row r="657" spans="1:30" ht="23" x14ac:dyDescent="0.15">
      <c r="A657" s="87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  <c r="AD657" s="88"/>
    </row>
    <row r="658" spans="1:30" ht="23" x14ac:dyDescent="0.15">
      <c r="A658" s="87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  <c r="AD658" s="88"/>
    </row>
    <row r="659" spans="1:30" ht="23" x14ac:dyDescent="0.15">
      <c r="A659" s="87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  <c r="AD659" s="88"/>
    </row>
    <row r="660" spans="1:30" ht="23" x14ac:dyDescent="0.15">
      <c r="A660" s="87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  <c r="AD660" s="88"/>
    </row>
    <row r="661" spans="1:30" ht="23" x14ac:dyDescent="0.15">
      <c r="A661" s="87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  <c r="AD661" s="88"/>
    </row>
    <row r="662" spans="1:30" ht="23" x14ac:dyDescent="0.15">
      <c r="A662" s="87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  <c r="AD662" s="88"/>
    </row>
    <row r="663" spans="1:30" ht="23" x14ac:dyDescent="0.15">
      <c r="A663" s="87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  <c r="AC663" s="88"/>
      <c r="AD663" s="88"/>
    </row>
    <row r="664" spans="1:30" ht="23" x14ac:dyDescent="0.15">
      <c r="A664" s="87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  <c r="AD664" s="88"/>
    </row>
    <row r="665" spans="1:30" ht="23" x14ac:dyDescent="0.15">
      <c r="A665" s="87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  <c r="AD665" s="88"/>
    </row>
    <row r="666" spans="1:30" ht="23" x14ac:dyDescent="0.15">
      <c r="A666" s="87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  <c r="AD666" s="88"/>
    </row>
    <row r="667" spans="1:30" ht="23" x14ac:dyDescent="0.15">
      <c r="A667" s="87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  <c r="AD667" s="88"/>
    </row>
    <row r="668" spans="1:30" ht="23" x14ac:dyDescent="0.15">
      <c r="A668" s="87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  <c r="AC668" s="88"/>
      <c r="AD668" s="88"/>
    </row>
    <row r="669" spans="1:30" ht="23" x14ac:dyDescent="0.15">
      <c r="A669" s="87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  <c r="AD669" s="88"/>
    </row>
    <row r="670" spans="1:30" ht="23" x14ac:dyDescent="0.15">
      <c r="A670" s="87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  <c r="AD670" s="88"/>
    </row>
    <row r="671" spans="1:30" ht="23" x14ac:dyDescent="0.15">
      <c r="A671" s="87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  <c r="AC671" s="88"/>
      <c r="AD671" s="88"/>
    </row>
    <row r="672" spans="1:30" ht="23" x14ac:dyDescent="0.15">
      <c r="A672" s="87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  <c r="AD672" s="88"/>
    </row>
    <row r="673" spans="1:30" ht="23" x14ac:dyDescent="0.15">
      <c r="A673" s="87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  <c r="AD673" s="88"/>
    </row>
    <row r="674" spans="1:30" ht="23" x14ac:dyDescent="0.15">
      <c r="A674" s="87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  <c r="AD674" s="88"/>
    </row>
    <row r="675" spans="1:30" ht="23" x14ac:dyDescent="0.15">
      <c r="A675" s="87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  <c r="AD675" s="88"/>
    </row>
    <row r="676" spans="1:30" ht="23" x14ac:dyDescent="0.15">
      <c r="A676" s="87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  <c r="AD676" s="88"/>
    </row>
    <row r="677" spans="1:30" ht="23" x14ac:dyDescent="0.15">
      <c r="A677" s="87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  <c r="AD677" s="88"/>
    </row>
    <row r="678" spans="1:30" ht="23" x14ac:dyDescent="0.15">
      <c r="A678" s="87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  <c r="AD678" s="88"/>
    </row>
    <row r="679" spans="1:30" ht="23" x14ac:dyDescent="0.15">
      <c r="A679" s="87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</row>
    <row r="680" spans="1:30" ht="23" x14ac:dyDescent="0.15">
      <c r="A680" s="87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  <c r="AD680" s="88"/>
    </row>
    <row r="681" spans="1:30" ht="23" x14ac:dyDescent="0.15">
      <c r="A681" s="87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  <c r="AD681" s="88"/>
    </row>
    <row r="682" spans="1:30" ht="23" x14ac:dyDescent="0.15">
      <c r="A682" s="87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  <c r="AD682" s="88"/>
    </row>
    <row r="683" spans="1:30" ht="23" x14ac:dyDescent="0.15">
      <c r="A683" s="87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  <c r="AD683" s="88"/>
    </row>
    <row r="684" spans="1:30" ht="23" x14ac:dyDescent="0.15">
      <c r="A684" s="87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  <c r="AD684" s="88"/>
    </row>
    <row r="685" spans="1:30" ht="23" x14ac:dyDescent="0.15">
      <c r="A685" s="87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  <c r="AD685" s="88"/>
    </row>
    <row r="686" spans="1:30" ht="23" x14ac:dyDescent="0.15">
      <c r="A686" s="87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  <c r="AC686" s="88"/>
      <c r="AD686" s="88"/>
    </row>
    <row r="687" spans="1:30" ht="23" x14ac:dyDescent="0.15">
      <c r="A687" s="87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  <c r="AD687" s="88"/>
    </row>
    <row r="688" spans="1:30" ht="23" x14ac:dyDescent="0.15">
      <c r="A688" s="87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  <c r="AD688" s="88"/>
    </row>
    <row r="689" spans="1:30" ht="23" x14ac:dyDescent="0.15">
      <c r="A689" s="87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  <c r="AD689" s="88"/>
    </row>
    <row r="690" spans="1:30" ht="23" x14ac:dyDescent="0.15">
      <c r="A690" s="87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  <c r="AC690" s="88"/>
      <c r="AD690" s="88"/>
    </row>
    <row r="691" spans="1:30" ht="23" x14ac:dyDescent="0.15">
      <c r="A691" s="87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  <c r="AD691" s="88"/>
    </row>
    <row r="692" spans="1:30" ht="23" x14ac:dyDescent="0.15">
      <c r="A692" s="87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  <c r="AC692" s="88"/>
      <c r="AD692" s="88"/>
    </row>
    <row r="693" spans="1:30" ht="23" x14ac:dyDescent="0.15">
      <c r="A693" s="87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  <c r="AC693" s="88"/>
      <c r="AD693" s="88"/>
    </row>
    <row r="694" spans="1:30" ht="23" x14ac:dyDescent="0.15">
      <c r="A694" s="87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  <c r="AC694" s="88"/>
      <c r="AD694" s="88"/>
    </row>
    <row r="695" spans="1:30" ht="23" x14ac:dyDescent="0.15">
      <c r="A695" s="87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  <c r="AD695" s="88"/>
    </row>
    <row r="696" spans="1:30" ht="23" x14ac:dyDescent="0.15">
      <c r="A696" s="87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  <c r="AD696" s="88"/>
    </row>
    <row r="697" spans="1:30" ht="23" x14ac:dyDescent="0.15">
      <c r="A697" s="87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  <c r="AD697" s="88"/>
    </row>
    <row r="698" spans="1:30" ht="23" x14ac:dyDescent="0.15">
      <c r="A698" s="87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  <c r="AD698" s="88"/>
    </row>
    <row r="699" spans="1:30" ht="23" x14ac:dyDescent="0.15">
      <c r="A699" s="87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  <c r="AD699" s="88"/>
    </row>
    <row r="700" spans="1:30" ht="23" x14ac:dyDescent="0.15">
      <c r="A700" s="87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  <c r="AC700" s="88"/>
      <c r="AD700" s="88"/>
    </row>
    <row r="701" spans="1:30" ht="23" x14ac:dyDescent="0.15">
      <c r="A701" s="87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  <c r="AD701" s="88"/>
    </row>
    <row r="702" spans="1:30" ht="23" x14ac:dyDescent="0.15">
      <c r="A702" s="87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  <c r="AD702" s="88"/>
    </row>
    <row r="703" spans="1:30" ht="23" x14ac:dyDescent="0.15">
      <c r="A703" s="87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  <c r="AD703" s="88"/>
    </row>
    <row r="704" spans="1:30" ht="23" x14ac:dyDescent="0.15">
      <c r="A704" s="87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  <c r="AD704" s="88"/>
    </row>
    <row r="705" spans="1:30" ht="23" x14ac:dyDescent="0.15">
      <c r="A705" s="87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  <c r="AD705" s="88"/>
    </row>
    <row r="706" spans="1:30" ht="23" x14ac:dyDescent="0.15">
      <c r="A706" s="87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  <c r="AD706" s="88"/>
    </row>
    <row r="707" spans="1:30" ht="23" x14ac:dyDescent="0.15">
      <c r="A707" s="87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  <c r="AD707" s="88"/>
    </row>
    <row r="708" spans="1:30" ht="23" x14ac:dyDescent="0.15">
      <c r="A708" s="87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  <c r="AD708" s="88"/>
    </row>
    <row r="709" spans="1:30" ht="23" x14ac:dyDescent="0.15">
      <c r="A709" s="87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  <c r="AD709" s="88"/>
    </row>
    <row r="710" spans="1:30" ht="23" x14ac:dyDescent="0.15">
      <c r="A710" s="87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  <c r="AD710" s="88"/>
    </row>
    <row r="711" spans="1:30" ht="23" x14ac:dyDescent="0.15">
      <c r="A711" s="87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  <c r="AD711" s="88"/>
    </row>
    <row r="712" spans="1:30" ht="23" x14ac:dyDescent="0.15">
      <c r="A712" s="87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  <c r="AD712" s="88"/>
    </row>
    <row r="713" spans="1:30" ht="23" x14ac:dyDescent="0.15">
      <c r="A713" s="87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  <c r="AD713" s="88"/>
    </row>
    <row r="714" spans="1:30" ht="23" x14ac:dyDescent="0.15">
      <c r="A714" s="87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  <c r="AD714" s="88"/>
    </row>
    <row r="715" spans="1:30" ht="23" x14ac:dyDescent="0.15">
      <c r="A715" s="87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  <c r="AC715" s="88"/>
      <c r="AD715" s="88"/>
    </row>
    <row r="716" spans="1:30" ht="23" x14ac:dyDescent="0.15">
      <c r="A716" s="87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  <c r="AD716" s="88"/>
    </row>
    <row r="717" spans="1:30" ht="23" x14ac:dyDescent="0.15">
      <c r="A717" s="87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  <c r="AD717" s="88"/>
    </row>
    <row r="718" spans="1:30" ht="23" x14ac:dyDescent="0.15">
      <c r="A718" s="87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  <c r="AD718" s="88"/>
    </row>
    <row r="719" spans="1:30" ht="23" x14ac:dyDescent="0.15">
      <c r="A719" s="87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  <c r="AD719" s="88"/>
    </row>
    <row r="720" spans="1:30" ht="23" x14ac:dyDescent="0.15">
      <c r="A720" s="87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  <c r="AD720" s="88"/>
    </row>
    <row r="721" spans="1:30" ht="23" x14ac:dyDescent="0.15">
      <c r="A721" s="87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  <c r="AD721" s="88"/>
    </row>
    <row r="722" spans="1:30" ht="23" x14ac:dyDescent="0.15">
      <c r="A722" s="87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  <c r="AC722" s="88"/>
      <c r="AD722" s="88"/>
    </row>
    <row r="723" spans="1:30" ht="23" x14ac:dyDescent="0.15">
      <c r="A723" s="87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  <c r="AD723" s="88"/>
    </row>
    <row r="724" spans="1:30" ht="23" x14ac:dyDescent="0.15">
      <c r="A724" s="87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  <c r="AD724" s="88"/>
    </row>
    <row r="725" spans="1:30" ht="23" x14ac:dyDescent="0.15">
      <c r="A725" s="87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  <c r="AD725" s="88"/>
    </row>
    <row r="726" spans="1:30" ht="23" x14ac:dyDescent="0.15">
      <c r="A726" s="87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  <c r="AC726" s="88"/>
      <c r="AD726" s="88"/>
    </row>
    <row r="727" spans="1:30" ht="23" x14ac:dyDescent="0.15">
      <c r="A727" s="87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  <c r="AC727" s="88"/>
      <c r="AD727" s="88"/>
    </row>
    <row r="728" spans="1:30" ht="23" x14ac:dyDescent="0.15">
      <c r="A728" s="87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  <c r="AC728" s="88"/>
      <c r="AD728" s="88"/>
    </row>
    <row r="729" spans="1:30" ht="23" x14ac:dyDescent="0.15">
      <c r="A729" s="87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  <c r="AD729" s="88"/>
    </row>
    <row r="730" spans="1:30" ht="23" x14ac:dyDescent="0.15">
      <c r="A730" s="87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  <c r="AC730" s="88"/>
      <c r="AD730" s="88"/>
    </row>
    <row r="731" spans="1:30" ht="23" x14ac:dyDescent="0.15">
      <c r="A731" s="87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  <c r="AC731" s="88"/>
      <c r="AD731" s="88"/>
    </row>
    <row r="732" spans="1:30" ht="23" x14ac:dyDescent="0.15">
      <c r="A732" s="87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  <c r="AC732" s="88"/>
      <c r="AD732" s="88"/>
    </row>
    <row r="733" spans="1:30" ht="23" x14ac:dyDescent="0.15">
      <c r="A733" s="87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8"/>
      <c r="AD733" s="88"/>
    </row>
    <row r="734" spans="1:30" ht="23" x14ac:dyDescent="0.15">
      <c r="A734" s="87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  <c r="AD734" s="88"/>
    </row>
    <row r="735" spans="1:30" ht="23" x14ac:dyDescent="0.15">
      <c r="A735" s="87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  <c r="AC735" s="88"/>
      <c r="AD735" s="88"/>
    </row>
    <row r="736" spans="1:30" ht="23" x14ac:dyDescent="0.15">
      <c r="A736" s="87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  <c r="AC736" s="88"/>
      <c r="AD736" s="88"/>
    </row>
    <row r="737" spans="1:30" ht="23" x14ac:dyDescent="0.15">
      <c r="A737" s="87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  <c r="AC737" s="88"/>
      <c r="AD737" s="88"/>
    </row>
    <row r="738" spans="1:30" ht="23" x14ac:dyDescent="0.15">
      <c r="A738" s="87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  <c r="AC738" s="88"/>
      <c r="AD738" s="88"/>
    </row>
    <row r="739" spans="1:30" ht="23" x14ac:dyDescent="0.15">
      <c r="A739" s="87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  <c r="AC739" s="88"/>
      <c r="AD739" s="88"/>
    </row>
    <row r="740" spans="1:30" ht="23" x14ac:dyDescent="0.15">
      <c r="A740" s="87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  <c r="AC740" s="88"/>
      <c r="AD740" s="88"/>
    </row>
    <row r="741" spans="1:30" ht="23" x14ac:dyDescent="0.15">
      <c r="A741" s="87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  <c r="AD741" s="88"/>
    </row>
    <row r="742" spans="1:30" ht="23" x14ac:dyDescent="0.15">
      <c r="A742" s="87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  <c r="AD742" s="88"/>
    </row>
    <row r="743" spans="1:30" ht="23" x14ac:dyDescent="0.15">
      <c r="A743" s="87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  <c r="AD743" s="88"/>
    </row>
    <row r="744" spans="1:30" ht="23" x14ac:dyDescent="0.15">
      <c r="A744" s="87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  <c r="AC744" s="88"/>
      <c r="AD744" s="88"/>
    </row>
    <row r="745" spans="1:30" ht="23" x14ac:dyDescent="0.15">
      <c r="A745" s="87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  <c r="AD745" s="88"/>
    </row>
    <row r="746" spans="1:30" ht="23" x14ac:dyDescent="0.15">
      <c r="A746" s="87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  <c r="AC746" s="88"/>
      <c r="AD746" s="88"/>
    </row>
    <row r="747" spans="1:30" ht="23" x14ac:dyDescent="0.15">
      <c r="A747" s="87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  <c r="AC747" s="88"/>
      <c r="AD747" s="88"/>
    </row>
    <row r="748" spans="1:30" ht="23" x14ac:dyDescent="0.15">
      <c r="A748" s="87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  <c r="AC748" s="88"/>
      <c r="AD748" s="88"/>
    </row>
    <row r="749" spans="1:30" ht="23" x14ac:dyDescent="0.15">
      <c r="A749" s="87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  <c r="AC749" s="88"/>
      <c r="AD749" s="88"/>
    </row>
    <row r="750" spans="1:30" ht="23" x14ac:dyDescent="0.15">
      <c r="A750" s="87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  <c r="AC750" s="88"/>
      <c r="AD750" s="88"/>
    </row>
    <row r="751" spans="1:30" ht="23" x14ac:dyDescent="0.15">
      <c r="A751" s="87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  <c r="AC751" s="88"/>
      <c r="AD751" s="88"/>
    </row>
    <row r="752" spans="1:30" ht="23" x14ac:dyDescent="0.15">
      <c r="A752" s="87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  <c r="AC752" s="88"/>
      <c r="AD752" s="88"/>
    </row>
    <row r="753" spans="1:30" ht="23" x14ac:dyDescent="0.15">
      <c r="A753" s="87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  <c r="AC753" s="88"/>
      <c r="AD753" s="88"/>
    </row>
    <row r="754" spans="1:30" ht="23" x14ac:dyDescent="0.15">
      <c r="A754" s="87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  <c r="AC754" s="88"/>
      <c r="AD754" s="88"/>
    </row>
    <row r="755" spans="1:30" ht="23" x14ac:dyDescent="0.15">
      <c r="A755" s="87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  <c r="AC755" s="88"/>
      <c r="AD755" s="88"/>
    </row>
    <row r="756" spans="1:30" ht="23" x14ac:dyDescent="0.15">
      <c r="A756" s="87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  <c r="AC756" s="88"/>
      <c r="AD756" s="88"/>
    </row>
    <row r="757" spans="1:30" ht="23" x14ac:dyDescent="0.15">
      <c r="A757" s="87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  <c r="AC757" s="88"/>
      <c r="AD757" s="88"/>
    </row>
    <row r="758" spans="1:30" ht="23" x14ac:dyDescent="0.15">
      <c r="A758" s="87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8"/>
      <c r="AD758" s="88"/>
    </row>
    <row r="759" spans="1:30" ht="23" x14ac:dyDescent="0.15">
      <c r="A759" s="87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  <c r="AC759" s="88"/>
      <c r="AD759" s="88"/>
    </row>
    <row r="760" spans="1:30" ht="23" x14ac:dyDescent="0.15">
      <c r="A760" s="87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  <c r="AC760" s="88"/>
      <c r="AD760" s="88"/>
    </row>
    <row r="761" spans="1:30" ht="23" x14ac:dyDescent="0.15">
      <c r="A761" s="87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  <c r="AC761" s="88"/>
      <c r="AD761" s="88"/>
    </row>
    <row r="762" spans="1:30" ht="23" x14ac:dyDescent="0.15">
      <c r="A762" s="87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  <c r="AC762" s="88"/>
      <c r="AD762" s="88"/>
    </row>
    <row r="763" spans="1:30" ht="23" x14ac:dyDescent="0.15">
      <c r="A763" s="87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  <c r="AD763" s="88"/>
    </row>
    <row r="764" spans="1:30" ht="23" x14ac:dyDescent="0.15">
      <c r="A764" s="87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  <c r="AC764" s="88"/>
      <c r="AD764" s="88"/>
    </row>
    <row r="765" spans="1:30" ht="23" x14ac:dyDescent="0.15">
      <c r="A765" s="87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  <c r="AC765" s="88"/>
      <c r="AD765" s="88"/>
    </row>
    <row r="766" spans="1:30" ht="23" x14ac:dyDescent="0.15">
      <c r="A766" s="87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  <c r="AC766" s="88"/>
      <c r="AD766" s="88"/>
    </row>
    <row r="767" spans="1:30" ht="23" x14ac:dyDescent="0.15">
      <c r="A767" s="87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  <c r="AC767" s="88"/>
      <c r="AD767" s="88"/>
    </row>
    <row r="768" spans="1:30" ht="23" x14ac:dyDescent="0.15">
      <c r="A768" s="87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  <c r="AC768" s="88"/>
      <c r="AD768" s="88"/>
    </row>
    <row r="769" spans="1:30" ht="23" x14ac:dyDescent="0.15">
      <c r="A769" s="87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  <c r="AC769" s="88"/>
      <c r="AD769" s="88"/>
    </row>
    <row r="770" spans="1:30" ht="23" x14ac:dyDescent="0.15">
      <c r="A770" s="87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  <c r="AC770" s="88"/>
      <c r="AD770" s="88"/>
    </row>
    <row r="771" spans="1:30" ht="23" x14ac:dyDescent="0.15">
      <c r="A771" s="87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  <c r="AC771" s="88"/>
      <c r="AD771" s="88"/>
    </row>
    <row r="772" spans="1:30" ht="23" x14ac:dyDescent="0.15">
      <c r="A772" s="87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8"/>
      <c r="AD772" s="88"/>
    </row>
    <row r="773" spans="1:30" ht="23" x14ac:dyDescent="0.15">
      <c r="A773" s="87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  <c r="AC773" s="88"/>
      <c r="AD773" s="88"/>
    </row>
    <row r="774" spans="1:30" ht="23" x14ac:dyDescent="0.15">
      <c r="A774" s="87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  <c r="AC774" s="88"/>
      <c r="AD774" s="88"/>
    </row>
    <row r="775" spans="1:30" ht="23" x14ac:dyDescent="0.15">
      <c r="A775" s="87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  <c r="AC775" s="88"/>
      <c r="AD775" s="88"/>
    </row>
    <row r="776" spans="1:30" ht="23" x14ac:dyDescent="0.15">
      <c r="A776" s="87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  <c r="AC776" s="88"/>
      <c r="AD776" s="88"/>
    </row>
    <row r="777" spans="1:30" ht="23" x14ac:dyDescent="0.15">
      <c r="A777" s="87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  <c r="AC777" s="88"/>
      <c r="AD777" s="88"/>
    </row>
    <row r="778" spans="1:30" ht="23" x14ac:dyDescent="0.15">
      <c r="A778" s="87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  <c r="AC778" s="88"/>
      <c r="AD778" s="88"/>
    </row>
    <row r="779" spans="1:30" ht="23" x14ac:dyDescent="0.15">
      <c r="A779" s="87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  <c r="AC779" s="88"/>
      <c r="AD779" s="88"/>
    </row>
    <row r="780" spans="1:30" ht="23" x14ac:dyDescent="0.15">
      <c r="A780" s="87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  <c r="AC780" s="88"/>
      <c r="AD780" s="88"/>
    </row>
    <row r="781" spans="1:30" ht="23" x14ac:dyDescent="0.15">
      <c r="A781" s="87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  <c r="AC781" s="88"/>
      <c r="AD781" s="88"/>
    </row>
    <row r="782" spans="1:30" ht="23" x14ac:dyDescent="0.15">
      <c r="A782" s="87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  <c r="AC782" s="88"/>
      <c r="AD782" s="88"/>
    </row>
    <row r="783" spans="1:30" ht="23" x14ac:dyDescent="0.15">
      <c r="A783" s="87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  <c r="AC783" s="88"/>
      <c r="AD783" s="88"/>
    </row>
    <row r="784" spans="1:30" ht="23" x14ac:dyDescent="0.15">
      <c r="A784" s="87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  <c r="AC784" s="88"/>
      <c r="AD784" s="88"/>
    </row>
    <row r="785" spans="1:30" ht="23" x14ac:dyDescent="0.15">
      <c r="A785" s="87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  <c r="AC785" s="88"/>
      <c r="AD785" s="88"/>
    </row>
    <row r="786" spans="1:30" ht="23" x14ac:dyDescent="0.15">
      <c r="A786" s="87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  <c r="AC786" s="88"/>
      <c r="AD786" s="88"/>
    </row>
    <row r="787" spans="1:30" ht="23" x14ac:dyDescent="0.15">
      <c r="A787" s="87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  <c r="AC787" s="88"/>
      <c r="AD787" s="88"/>
    </row>
    <row r="788" spans="1:30" ht="23" x14ac:dyDescent="0.15">
      <c r="A788" s="87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  <c r="AC788" s="88"/>
      <c r="AD788" s="88"/>
    </row>
    <row r="789" spans="1:30" ht="23" x14ac:dyDescent="0.15">
      <c r="A789" s="87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  <c r="AC789" s="88"/>
      <c r="AD789" s="88"/>
    </row>
    <row r="790" spans="1:30" ht="23" x14ac:dyDescent="0.15">
      <c r="A790" s="87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  <c r="AC790" s="88"/>
      <c r="AD790" s="88"/>
    </row>
    <row r="791" spans="1:30" ht="23" x14ac:dyDescent="0.15">
      <c r="A791" s="87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  <c r="AC791" s="88"/>
      <c r="AD791" s="88"/>
    </row>
    <row r="792" spans="1:30" ht="23" x14ac:dyDescent="0.15">
      <c r="A792" s="87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  <c r="AC792" s="88"/>
      <c r="AD792" s="88"/>
    </row>
    <row r="793" spans="1:30" ht="23" x14ac:dyDescent="0.15">
      <c r="A793" s="87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  <c r="AC793" s="88"/>
      <c r="AD793" s="88"/>
    </row>
    <row r="794" spans="1:30" ht="23" x14ac:dyDescent="0.15">
      <c r="A794" s="87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  <c r="AC794" s="88"/>
      <c r="AD794" s="88"/>
    </row>
    <row r="795" spans="1:30" ht="23" x14ac:dyDescent="0.15">
      <c r="A795" s="87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  <c r="AC795" s="88"/>
      <c r="AD795" s="88"/>
    </row>
    <row r="796" spans="1:30" ht="23" x14ac:dyDescent="0.15">
      <c r="A796" s="87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  <c r="AD796" s="88"/>
    </row>
    <row r="797" spans="1:30" ht="23" x14ac:dyDescent="0.15">
      <c r="A797" s="87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  <c r="AD797" s="88"/>
    </row>
    <row r="798" spans="1:30" ht="23" x14ac:dyDescent="0.15">
      <c r="A798" s="87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  <c r="AC798" s="88"/>
      <c r="AD798" s="88"/>
    </row>
    <row r="799" spans="1:30" ht="23" x14ac:dyDescent="0.15">
      <c r="A799" s="87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  <c r="AC799" s="88"/>
      <c r="AD799" s="88"/>
    </row>
    <row r="800" spans="1:30" ht="23" x14ac:dyDescent="0.15">
      <c r="A800" s="87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  <c r="AC800" s="88"/>
      <c r="AD800" s="88"/>
    </row>
    <row r="801" spans="1:30" ht="23" x14ac:dyDescent="0.15">
      <c r="A801" s="87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  <c r="AC801" s="88"/>
      <c r="AD801" s="88"/>
    </row>
    <row r="802" spans="1:30" ht="23" x14ac:dyDescent="0.15">
      <c r="A802" s="87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  <c r="AD802" s="88"/>
    </row>
    <row r="803" spans="1:30" ht="23" x14ac:dyDescent="0.15">
      <c r="A803" s="87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  <c r="AC803" s="88"/>
      <c r="AD803" s="88"/>
    </row>
    <row r="804" spans="1:30" ht="23" x14ac:dyDescent="0.15">
      <c r="A804" s="87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8"/>
      <c r="AD804" s="88"/>
    </row>
    <row r="805" spans="1:30" ht="23" x14ac:dyDescent="0.15">
      <c r="A805" s="87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  <c r="AC805" s="88"/>
      <c r="AD805" s="88"/>
    </row>
    <row r="806" spans="1:30" ht="23" x14ac:dyDescent="0.15">
      <c r="A806" s="87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  <c r="AC806" s="88"/>
      <c r="AD806" s="88"/>
    </row>
    <row r="807" spans="1:30" ht="23" x14ac:dyDescent="0.15">
      <c r="A807" s="87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  <c r="AC807" s="88"/>
      <c r="AD807" s="88"/>
    </row>
    <row r="808" spans="1:30" ht="23" x14ac:dyDescent="0.15">
      <c r="A808" s="87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8"/>
      <c r="AD808" s="88"/>
    </row>
    <row r="809" spans="1:30" ht="23" x14ac:dyDescent="0.15">
      <c r="A809" s="87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  <c r="AC809" s="88"/>
      <c r="AD809" s="88"/>
    </row>
    <row r="810" spans="1:30" ht="23" x14ac:dyDescent="0.15">
      <c r="A810" s="87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  <c r="AC810" s="88"/>
      <c r="AD810" s="88"/>
    </row>
    <row r="811" spans="1:30" ht="23" x14ac:dyDescent="0.15">
      <c r="A811" s="87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  <c r="AC811" s="88"/>
      <c r="AD811" s="88"/>
    </row>
    <row r="812" spans="1:30" ht="23" x14ac:dyDescent="0.15">
      <c r="A812" s="87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  <c r="AC812" s="88"/>
      <c r="AD812" s="88"/>
    </row>
    <row r="813" spans="1:30" ht="23" x14ac:dyDescent="0.15">
      <c r="A813" s="87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8"/>
      <c r="AD813" s="88"/>
    </row>
    <row r="814" spans="1:30" ht="23" x14ac:dyDescent="0.15">
      <c r="A814" s="87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  <c r="AC814" s="88"/>
      <c r="AD814" s="88"/>
    </row>
    <row r="815" spans="1:30" ht="23" x14ac:dyDescent="0.15">
      <c r="A815" s="87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  <c r="AC815" s="88"/>
      <c r="AD815" s="88"/>
    </row>
    <row r="816" spans="1:30" ht="23" x14ac:dyDescent="0.15">
      <c r="A816" s="87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  <c r="AC816" s="88"/>
      <c r="AD816" s="88"/>
    </row>
    <row r="817" spans="1:30" ht="23" x14ac:dyDescent="0.15">
      <c r="A817" s="87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  <c r="AC817" s="88"/>
      <c r="AD817" s="88"/>
    </row>
    <row r="818" spans="1:30" ht="23" x14ac:dyDescent="0.15">
      <c r="A818" s="87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  <c r="AC818" s="88"/>
      <c r="AD818" s="88"/>
    </row>
    <row r="819" spans="1:30" ht="23" x14ac:dyDescent="0.15">
      <c r="A819" s="87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  <c r="AC819" s="88"/>
      <c r="AD819" s="88"/>
    </row>
    <row r="820" spans="1:30" ht="23" x14ac:dyDescent="0.15">
      <c r="A820" s="87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  <c r="AC820" s="88"/>
      <c r="AD820" s="88"/>
    </row>
    <row r="821" spans="1:30" ht="23" x14ac:dyDescent="0.15">
      <c r="A821" s="87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  <c r="AC821" s="88"/>
      <c r="AD821" s="88"/>
    </row>
    <row r="822" spans="1:30" ht="23" x14ac:dyDescent="0.15">
      <c r="A822" s="87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  <c r="AC822" s="88"/>
      <c r="AD822" s="88"/>
    </row>
    <row r="823" spans="1:30" ht="23" x14ac:dyDescent="0.15">
      <c r="A823" s="87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  <c r="AC823" s="88"/>
      <c r="AD823" s="88"/>
    </row>
    <row r="824" spans="1:30" ht="23" x14ac:dyDescent="0.15">
      <c r="A824" s="87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  <c r="AC824" s="88"/>
      <c r="AD824" s="88"/>
    </row>
    <row r="825" spans="1:30" ht="23" x14ac:dyDescent="0.15">
      <c r="A825" s="87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  <c r="AC825" s="88"/>
      <c r="AD825" s="88"/>
    </row>
    <row r="826" spans="1:30" ht="23" x14ac:dyDescent="0.15">
      <c r="A826" s="87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  <c r="AC826" s="88"/>
      <c r="AD826" s="88"/>
    </row>
    <row r="827" spans="1:30" ht="23" x14ac:dyDescent="0.15">
      <c r="A827" s="87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  <c r="AC827" s="88"/>
      <c r="AD827" s="88"/>
    </row>
    <row r="828" spans="1:30" ht="23" x14ac:dyDescent="0.15">
      <c r="A828" s="87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  <c r="AC828" s="88"/>
      <c r="AD828" s="88"/>
    </row>
    <row r="829" spans="1:30" ht="23" x14ac:dyDescent="0.15">
      <c r="A829" s="87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  <c r="AC829" s="88"/>
      <c r="AD829" s="88"/>
    </row>
    <row r="830" spans="1:30" ht="23" x14ac:dyDescent="0.15">
      <c r="A830" s="87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  <c r="AC830" s="88"/>
      <c r="AD830" s="88"/>
    </row>
    <row r="831" spans="1:30" ht="23" x14ac:dyDescent="0.15">
      <c r="A831" s="87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  <c r="AC831" s="88"/>
      <c r="AD831" s="88"/>
    </row>
    <row r="832" spans="1:30" ht="23" x14ac:dyDescent="0.15">
      <c r="A832" s="87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  <c r="AC832" s="88"/>
      <c r="AD832" s="88"/>
    </row>
    <row r="833" spans="1:30" ht="23" x14ac:dyDescent="0.15">
      <c r="A833" s="87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  <c r="AC833" s="88"/>
      <c r="AD833" s="88"/>
    </row>
    <row r="834" spans="1:30" ht="23" x14ac:dyDescent="0.15">
      <c r="A834" s="87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  <c r="AC834" s="88"/>
      <c r="AD834" s="88"/>
    </row>
    <row r="835" spans="1:30" ht="23" x14ac:dyDescent="0.15">
      <c r="A835" s="87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  <c r="AC835" s="88"/>
      <c r="AD835" s="88"/>
    </row>
    <row r="836" spans="1:30" ht="23" x14ac:dyDescent="0.15">
      <c r="A836" s="87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  <c r="AC836" s="88"/>
      <c r="AD836" s="88"/>
    </row>
    <row r="837" spans="1:30" ht="23" x14ac:dyDescent="0.15">
      <c r="A837" s="87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  <c r="AC837" s="88"/>
      <c r="AD837" s="88"/>
    </row>
    <row r="838" spans="1:30" ht="23" x14ac:dyDescent="0.15">
      <c r="A838" s="87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  <c r="AC838" s="88"/>
      <c r="AD838" s="88"/>
    </row>
    <row r="839" spans="1:30" ht="23" x14ac:dyDescent="0.15">
      <c r="A839" s="87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  <c r="AC839" s="88"/>
      <c r="AD839" s="88"/>
    </row>
    <row r="840" spans="1:30" ht="23" x14ac:dyDescent="0.15">
      <c r="A840" s="87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8"/>
      <c r="AD840" s="88"/>
    </row>
    <row r="841" spans="1:30" ht="23" x14ac:dyDescent="0.15">
      <c r="A841" s="87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  <c r="AC841" s="88"/>
      <c r="AD841" s="88"/>
    </row>
    <row r="842" spans="1:30" ht="23" x14ac:dyDescent="0.15">
      <c r="A842" s="87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  <c r="AC842" s="88"/>
      <c r="AD842" s="88"/>
    </row>
    <row r="843" spans="1:30" ht="23" x14ac:dyDescent="0.15">
      <c r="A843" s="87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  <c r="AC843" s="88"/>
      <c r="AD843" s="88"/>
    </row>
    <row r="844" spans="1:30" ht="23" x14ac:dyDescent="0.15">
      <c r="A844" s="87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  <c r="AC844" s="88"/>
      <c r="AD844" s="88"/>
    </row>
    <row r="845" spans="1:30" ht="23" x14ac:dyDescent="0.15">
      <c r="A845" s="87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  <c r="AC845" s="88"/>
      <c r="AD845" s="88"/>
    </row>
    <row r="846" spans="1:30" ht="23" x14ac:dyDescent="0.15">
      <c r="A846" s="87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  <c r="AC846" s="88"/>
      <c r="AD846" s="88"/>
    </row>
    <row r="847" spans="1:30" ht="23" x14ac:dyDescent="0.15">
      <c r="A847" s="87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  <c r="AC847" s="88"/>
      <c r="AD847" s="88"/>
    </row>
    <row r="848" spans="1:30" ht="23" x14ac:dyDescent="0.15">
      <c r="A848" s="87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  <c r="AC848" s="88"/>
      <c r="AD848" s="88"/>
    </row>
    <row r="849" spans="1:30" ht="23" x14ac:dyDescent="0.15">
      <c r="A849" s="87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  <c r="AC849" s="88"/>
      <c r="AD849" s="88"/>
    </row>
    <row r="850" spans="1:30" ht="23" x14ac:dyDescent="0.15">
      <c r="A850" s="87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  <c r="AC850" s="88"/>
      <c r="AD850" s="88"/>
    </row>
    <row r="851" spans="1:30" ht="23" x14ac:dyDescent="0.15">
      <c r="A851" s="87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  <c r="AC851" s="88"/>
      <c r="AD851" s="88"/>
    </row>
    <row r="852" spans="1:30" ht="23" x14ac:dyDescent="0.15">
      <c r="A852" s="87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  <c r="AC852" s="88"/>
      <c r="AD852" s="88"/>
    </row>
    <row r="853" spans="1:30" ht="23" x14ac:dyDescent="0.15">
      <c r="A853" s="87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  <c r="AC853" s="88"/>
      <c r="AD853" s="88"/>
    </row>
    <row r="854" spans="1:30" ht="23" x14ac:dyDescent="0.15">
      <c r="A854" s="87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  <c r="AC854" s="88"/>
      <c r="AD854" s="88"/>
    </row>
    <row r="855" spans="1:30" ht="23" x14ac:dyDescent="0.15">
      <c r="A855" s="87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  <c r="AC855" s="88"/>
      <c r="AD855" s="88"/>
    </row>
    <row r="856" spans="1:30" ht="23" x14ac:dyDescent="0.15">
      <c r="A856" s="87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  <c r="AC856" s="88"/>
      <c r="AD856" s="88"/>
    </row>
    <row r="857" spans="1:30" ht="23" x14ac:dyDescent="0.15">
      <c r="A857" s="87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8"/>
      <c r="AD857" s="88"/>
    </row>
    <row r="858" spans="1:30" ht="23" x14ac:dyDescent="0.15">
      <c r="A858" s="87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  <c r="AC858" s="88"/>
      <c r="AD858" s="88"/>
    </row>
    <row r="859" spans="1:30" ht="23" x14ac:dyDescent="0.15">
      <c r="A859" s="87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  <c r="AC859" s="88"/>
      <c r="AD859" s="88"/>
    </row>
    <row r="860" spans="1:30" ht="23" x14ac:dyDescent="0.15">
      <c r="A860" s="87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  <c r="AC860" s="88"/>
      <c r="AD860" s="88"/>
    </row>
    <row r="861" spans="1:30" ht="23" x14ac:dyDescent="0.15">
      <c r="A861" s="87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  <c r="AC861" s="88"/>
      <c r="AD861" s="88"/>
    </row>
    <row r="862" spans="1:30" ht="23" x14ac:dyDescent="0.15">
      <c r="A862" s="87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  <c r="AC862" s="88"/>
      <c r="AD862" s="88"/>
    </row>
    <row r="863" spans="1:30" ht="23" x14ac:dyDescent="0.15">
      <c r="A863" s="87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  <c r="AC863" s="88"/>
      <c r="AD863" s="88"/>
    </row>
    <row r="864" spans="1:30" ht="23" x14ac:dyDescent="0.15">
      <c r="A864" s="87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  <c r="AC864" s="88"/>
      <c r="AD864" s="88"/>
    </row>
    <row r="865" spans="1:30" ht="23" x14ac:dyDescent="0.15">
      <c r="A865" s="87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  <c r="AC865" s="88"/>
      <c r="AD865" s="88"/>
    </row>
    <row r="866" spans="1:30" ht="23" x14ac:dyDescent="0.15">
      <c r="A866" s="87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  <c r="AC866" s="88"/>
      <c r="AD866" s="88"/>
    </row>
    <row r="867" spans="1:30" ht="23" x14ac:dyDescent="0.15">
      <c r="A867" s="87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  <c r="AC867" s="88"/>
      <c r="AD867" s="88"/>
    </row>
    <row r="868" spans="1:30" ht="23" x14ac:dyDescent="0.15">
      <c r="A868" s="87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  <c r="AC868" s="88"/>
      <c r="AD868" s="88"/>
    </row>
    <row r="869" spans="1:30" ht="23" x14ac:dyDescent="0.15">
      <c r="A869" s="87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  <c r="AC869" s="88"/>
      <c r="AD869" s="88"/>
    </row>
    <row r="870" spans="1:30" ht="23" x14ac:dyDescent="0.15">
      <c r="A870" s="87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  <c r="AC870" s="88"/>
      <c r="AD870" s="88"/>
    </row>
    <row r="871" spans="1:30" ht="23" x14ac:dyDescent="0.15">
      <c r="A871" s="87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  <c r="AC871" s="88"/>
      <c r="AD871" s="88"/>
    </row>
    <row r="872" spans="1:30" ht="23" x14ac:dyDescent="0.15">
      <c r="A872" s="87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  <c r="AC872" s="88"/>
      <c r="AD872" s="88"/>
    </row>
    <row r="873" spans="1:30" ht="23" x14ac:dyDescent="0.15">
      <c r="A873" s="87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  <c r="AC873" s="88"/>
      <c r="AD873" s="88"/>
    </row>
    <row r="874" spans="1:30" ht="23" x14ac:dyDescent="0.15">
      <c r="A874" s="87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  <c r="AC874" s="88"/>
      <c r="AD874" s="88"/>
    </row>
    <row r="875" spans="1:30" ht="23" x14ac:dyDescent="0.15">
      <c r="A875" s="87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8"/>
      <c r="AD875" s="88"/>
    </row>
    <row r="876" spans="1:30" ht="23" x14ac:dyDescent="0.15">
      <c r="A876" s="87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  <c r="AC876" s="88"/>
      <c r="AD876" s="88"/>
    </row>
    <row r="877" spans="1:30" ht="23" x14ac:dyDescent="0.15">
      <c r="A877" s="87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  <c r="AC877" s="88"/>
      <c r="AD877" s="88"/>
    </row>
    <row r="878" spans="1:30" ht="23" x14ac:dyDescent="0.15">
      <c r="A878" s="87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  <c r="AC878" s="88"/>
      <c r="AD878" s="88"/>
    </row>
    <row r="879" spans="1:30" ht="23" x14ac:dyDescent="0.15">
      <c r="A879" s="87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  <c r="AC879" s="88"/>
      <c r="AD879" s="88"/>
    </row>
    <row r="880" spans="1:30" ht="23" x14ac:dyDescent="0.15">
      <c r="A880" s="87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  <c r="AC880" s="88"/>
      <c r="AD880" s="88"/>
    </row>
    <row r="881" spans="1:30" ht="23" x14ac:dyDescent="0.15">
      <c r="A881" s="87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  <c r="AC881" s="88"/>
      <c r="AD881" s="88"/>
    </row>
    <row r="882" spans="1:30" ht="23" x14ac:dyDescent="0.15">
      <c r="A882" s="87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  <c r="AC882" s="88"/>
      <c r="AD882" s="88"/>
    </row>
    <row r="883" spans="1:30" ht="23" x14ac:dyDescent="0.15">
      <c r="A883" s="87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  <c r="AC883" s="88"/>
      <c r="AD883" s="88"/>
    </row>
    <row r="884" spans="1:30" ht="23" x14ac:dyDescent="0.15">
      <c r="A884" s="87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  <c r="AC884" s="88"/>
      <c r="AD884" s="88"/>
    </row>
    <row r="885" spans="1:30" ht="23" x14ac:dyDescent="0.15">
      <c r="A885" s="87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8"/>
      <c r="AD885" s="88"/>
    </row>
    <row r="886" spans="1:30" ht="23" x14ac:dyDescent="0.15">
      <c r="A886" s="87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  <c r="AC886" s="88"/>
      <c r="AD886" s="88"/>
    </row>
    <row r="887" spans="1:30" ht="23" x14ac:dyDescent="0.15">
      <c r="A887" s="87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  <c r="AC887" s="88"/>
      <c r="AD887" s="88"/>
    </row>
    <row r="888" spans="1:30" ht="23" x14ac:dyDescent="0.15">
      <c r="A888" s="87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  <c r="AC888" s="88"/>
      <c r="AD888" s="88"/>
    </row>
    <row r="889" spans="1:30" ht="23" x14ac:dyDescent="0.15">
      <c r="A889" s="87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  <c r="AD889" s="88"/>
    </row>
    <row r="890" spans="1:30" ht="23" x14ac:dyDescent="0.15">
      <c r="A890" s="87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  <c r="AC890" s="88"/>
      <c r="AD890" s="88"/>
    </row>
    <row r="891" spans="1:30" ht="23" x14ac:dyDescent="0.15">
      <c r="A891" s="87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  <c r="AC891" s="88"/>
      <c r="AD891" s="88"/>
    </row>
    <row r="892" spans="1:30" ht="23" x14ac:dyDescent="0.15">
      <c r="A892" s="87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  <c r="AC892" s="88"/>
      <c r="AD892" s="88"/>
    </row>
    <row r="893" spans="1:30" ht="23" x14ac:dyDescent="0.15">
      <c r="A893" s="87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  <c r="AC893" s="88"/>
      <c r="AD893" s="88"/>
    </row>
    <row r="894" spans="1:30" ht="23" x14ac:dyDescent="0.15">
      <c r="A894" s="87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  <c r="AC894" s="88"/>
      <c r="AD894" s="88"/>
    </row>
    <row r="895" spans="1:30" ht="23" x14ac:dyDescent="0.15">
      <c r="A895" s="87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  <c r="AC895" s="88"/>
      <c r="AD895" s="88"/>
    </row>
    <row r="896" spans="1:30" ht="23" x14ac:dyDescent="0.15">
      <c r="A896" s="87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  <c r="AC896" s="88"/>
      <c r="AD896" s="88"/>
    </row>
    <row r="897" spans="1:30" ht="23" x14ac:dyDescent="0.15">
      <c r="A897" s="87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  <c r="AC897" s="88"/>
      <c r="AD897" s="88"/>
    </row>
    <row r="898" spans="1:30" ht="23" x14ac:dyDescent="0.15">
      <c r="A898" s="87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  <c r="AC898" s="88"/>
      <c r="AD898" s="88"/>
    </row>
    <row r="899" spans="1:30" ht="23" x14ac:dyDescent="0.15">
      <c r="A899" s="87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  <c r="AC899" s="88"/>
      <c r="AD899" s="88"/>
    </row>
    <row r="900" spans="1:30" ht="23" x14ac:dyDescent="0.15">
      <c r="A900" s="87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  <c r="AC900" s="88"/>
      <c r="AD900" s="88"/>
    </row>
    <row r="901" spans="1:30" ht="23" x14ac:dyDescent="0.15">
      <c r="A901" s="87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  <c r="AC901" s="88"/>
      <c r="AD901" s="88"/>
    </row>
    <row r="902" spans="1:30" ht="23" x14ac:dyDescent="0.15">
      <c r="A902" s="87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  <c r="AC902" s="88"/>
      <c r="AD902" s="88"/>
    </row>
    <row r="903" spans="1:30" ht="23" x14ac:dyDescent="0.15">
      <c r="A903" s="87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8"/>
      <c r="AD903" s="88"/>
    </row>
    <row r="904" spans="1:30" ht="23" x14ac:dyDescent="0.15">
      <c r="A904" s="87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  <c r="AC904" s="88"/>
      <c r="AD904" s="88"/>
    </row>
    <row r="905" spans="1:30" ht="23" x14ac:dyDescent="0.15">
      <c r="A905" s="87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  <c r="AC905" s="88"/>
      <c r="AD905" s="88"/>
    </row>
    <row r="906" spans="1:30" ht="23" x14ac:dyDescent="0.15">
      <c r="A906" s="87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  <c r="AC906" s="88"/>
      <c r="AD906" s="88"/>
    </row>
    <row r="907" spans="1:30" ht="23" x14ac:dyDescent="0.15">
      <c r="A907" s="87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  <c r="AC907" s="88"/>
      <c r="AD907" s="88"/>
    </row>
    <row r="908" spans="1:30" ht="23" x14ac:dyDescent="0.15">
      <c r="A908" s="87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  <c r="AC908" s="88"/>
      <c r="AD908" s="88"/>
    </row>
    <row r="909" spans="1:30" ht="23" x14ac:dyDescent="0.15">
      <c r="A909" s="87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  <c r="AC909" s="88"/>
      <c r="AD909" s="88"/>
    </row>
    <row r="910" spans="1:30" ht="23" x14ac:dyDescent="0.15">
      <c r="A910" s="87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  <c r="AC910" s="88"/>
      <c r="AD910" s="88"/>
    </row>
    <row r="911" spans="1:30" ht="23" x14ac:dyDescent="0.15">
      <c r="A911" s="87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  <c r="AC911" s="88"/>
      <c r="AD911" s="88"/>
    </row>
    <row r="912" spans="1:30" ht="23" x14ac:dyDescent="0.15">
      <c r="A912" s="87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  <c r="AC912" s="88"/>
      <c r="AD912" s="88"/>
    </row>
    <row r="913" spans="1:30" ht="23" x14ac:dyDescent="0.15">
      <c r="A913" s="87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  <c r="AC913" s="88"/>
      <c r="AD913" s="88"/>
    </row>
    <row r="914" spans="1:30" ht="23" x14ac:dyDescent="0.15">
      <c r="A914" s="87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  <c r="AC914" s="88"/>
      <c r="AD914" s="88"/>
    </row>
    <row r="915" spans="1:30" ht="23" x14ac:dyDescent="0.15">
      <c r="A915" s="87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  <c r="AC915" s="88"/>
      <c r="AD915" s="88"/>
    </row>
    <row r="916" spans="1:30" ht="23" x14ac:dyDescent="0.15">
      <c r="A916" s="87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  <c r="AC916" s="88"/>
      <c r="AD916" s="88"/>
    </row>
    <row r="917" spans="1:30" ht="23" x14ac:dyDescent="0.15">
      <c r="A917" s="87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  <c r="AC917" s="88"/>
      <c r="AD917" s="88"/>
    </row>
    <row r="918" spans="1:30" ht="23" x14ac:dyDescent="0.15">
      <c r="A918" s="87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  <c r="AC918" s="88"/>
      <c r="AD918" s="88"/>
    </row>
    <row r="919" spans="1:30" ht="23" x14ac:dyDescent="0.15">
      <c r="A919" s="87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  <c r="AC919" s="88"/>
      <c r="AD919" s="88"/>
    </row>
    <row r="920" spans="1:30" ht="23" x14ac:dyDescent="0.15">
      <c r="A920" s="87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8"/>
      <c r="AD920" s="88"/>
    </row>
    <row r="921" spans="1:30" ht="23" x14ac:dyDescent="0.15">
      <c r="A921" s="87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  <c r="AC921" s="88"/>
      <c r="AD921" s="88"/>
    </row>
    <row r="922" spans="1:30" ht="23" x14ac:dyDescent="0.15">
      <c r="A922" s="87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  <c r="AC922" s="88"/>
      <c r="AD922" s="88"/>
    </row>
    <row r="923" spans="1:30" ht="23" x14ac:dyDescent="0.15">
      <c r="A923" s="87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  <c r="AC923" s="88"/>
      <c r="AD923" s="88"/>
    </row>
    <row r="924" spans="1:30" ht="23" x14ac:dyDescent="0.15">
      <c r="A924" s="87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  <c r="AC924" s="88"/>
      <c r="AD924" s="88"/>
    </row>
    <row r="925" spans="1:30" ht="23" x14ac:dyDescent="0.15">
      <c r="A925" s="87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  <c r="AC925" s="88"/>
      <c r="AD925" s="88"/>
    </row>
    <row r="926" spans="1:30" ht="23" x14ac:dyDescent="0.15">
      <c r="A926" s="87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  <c r="AD926" s="88"/>
    </row>
    <row r="927" spans="1:30" ht="23" x14ac:dyDescent="0.15">
      <c r="A927" s="87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  <c r="AC927" s="88"/>
      <c r="AD927" s="88"/>
    </row>
    <row r="928" spans="1:30" ht="23" x14ac:dyDescent="0.15">
      <c r="A928" s="87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  <c r="AC928" s="88"/>
      <c r="AD928" s="88"/>
    </row>
    <row r="929" spans="1:30" ht="23" x14ac:dyDescent="0.15">
      <c r="A929" s="87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  <c r="AC929" s="88"/>
      <c r="AD929" s="88"/>
    </row>
    <row r="930" spans="1:30" ht="23" x14ac:dyDescent="0.15">
      <c r="A930" s="87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  <c r="AC930" s="88"/>
      <c r="AD930" s="88"/>
    </row>
    <row r="931" spans="1:30" ht="23" x14ac:dyDescent="0.15">
      <c r="A931" s="87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  <c r="AC931" s="88"/>
      <c r="AD931" s="88"/>
    </row>
    <row r="932" spans="1:30" ht="23" x14ac:dyDescent="0.15">
      <c r="A932" s="87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  <c r="AC932" s="88"/>
      <c r="AD932" s="88"/>
    </row>
    <row r="933" spans="1:30" ht="23" x14ac:dyDescent="0.15">
      <c r="A933" s="87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  <c r="AC933" s="88"/>
      <c r="AD933" s="88"/>
    </row>
    <row r="934" spans="1:30" ht="23" x14ac:dyDescent="0.15">
      <c r="A934" s="87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  <c r="AC934" s="88"/>
      <c r="AD934" s="88"/>
    </row>
    <row r="935" spans="1:30" ht="23" x14ac:dyDescent="0.15">
      <c r="A935" s="87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8"/>
      <c r="AD935" s="88"/>
    </row>
    <row r="936" spans="1:30" ht="23" x14ac:dyDescent="0.15">
      <c r="A936" s="87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  <c r="AC936" s="88"/>
      <c r="AD936" s="88"/>
    </row>
    <row r="937" spans="1:30" ht="23" x14ac:dyDescent="0.15">
      <c r="A937" s="87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  <c r="AC937" s="88"/>
      <c r="AD937" s="88"/>
    </row>
    <row r="938" spans="1:30" ht="23" x14ac:dyDescent="0.15">
      <c r="A938" s="87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  <c r="AC938" s="88"/>
      <c r="AD938" s="88"/>
    </row>
    <row r="939" spans="1:30" ht="23" x14ac:dyDescent="0.15">
      <c r="A939" s="87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  <c r="AC939" s="88"/>
      <c r="AD939" s="88"/>
    </row>
    <row r="940" spans="1:30" ht="23" x14ac:dyDescent="0.15">
      <c r="A940" s="87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  <c r="AC940" s="88"/>
      <c r="AD940" s="88"/>
    </row>
    <row r="941" spans="1:30" ht="23" x14ac:dyDescent="0.15">
      <c r="A941" s="87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  <c r="AC941" s="88"/>
      <c r="AD941" s="88"/>
    </row>
    <row r="942" spans="1:30" ht="23" x14ac:dyDescent="0.15">
      <c r="A942" s="87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  <c r="AC942" s="88"/>
      <c r="AD942" s="88"/>
    </row>
    <row r="943" spans="1:30" ht="23" x14ac:dyDescent="0.15">
      <c r="A943" s="87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  <c r="AC943" s="88"/>
      <c r="AD943" s="88"/>
    </row>
    <row r="944" spans="1:30" ht="23" x14ac:dyDescent="0.15">
      <c r="A944" s="87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  <c r="AC944" s="88"/>
      <c r="AD944" s="88"/>
    </row>
    <row r="945" spans="1:30" ht="23" x14ac:dyDescent="0.15">
      <c r="A945" s="87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  <c r="AC945" s="88"/>
      <c r="AD945" s="88"/>
    </row>
    <row r="946" spans="1:30" ht="23" x14ac:dyDescent="0.15">
      <c r="A946" s="87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  <c r="AC946" s="88"/>
      <c r="AD946" s="88"/>
    </row>
    <row r="947" spans="1:30" ht="23" x14ac:dyDescent="0.15">
      <c r="A947" s="87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  <c r="AC947" s="88"/>
      <c r="AD947" s="88"/>
    </row>
    <row r="948" spans="1:30" ht="23" x14ac:dyDescent="0.15">
      <c r="A948" s="87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  <c r="AC948" s="88"/>
      <c r="AD948" s="88"/>
    </row>
    <row r="949" spans="1:30" ht="23" x14ac:dyDescent="0.15">
      <c r="A949" s="87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  <c r="AC949" s="88"/>
      <c r="AD949" s="88"/>
    </row>
    <row r="950" spans="1:30" ht="23" x14ac:dyDescent="0.15">
      <c r="A950" s="87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  <c r="AC950" s="88"/>
      <c r="AD950" s="88"/>
    </row>
    <row r="951" spans="1:30" ht="23" x14ac:dyDescent="0.15">
      <c r="A951" s="87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  <c r="AC951" s="88"/>
      <c r="AD951" s="88"/>
    </row>
    <row r="952" spans="1:30" ht="23" x14ac:dyDescent="0.15">
      <c r="A952" s="87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8"/>
      <c r="AD952" s="88"/>
    </row>
    <row r="953" spans="1:30" ht="23" x14ac:dyDescent="0.15">
      <c r="A953" s="87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  <c r="AC953" s="88"/>
      <c r="AD953" s="88"/>
    </row>
    <row r="954" spans="1:30" ht="23" x14ac:dyDescent="0.15">
      <c r="A954" s="87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  <c r="AC954" s="88"/>
      <c r="AD954" s="88"/>
    </row>
    <row r="955" spans="1:30" ht="23" x14ac:dyDescent="0.15">
      <c r="A955" s="87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  <c r="AC955" s="88"/>
      <c r="AD955" s="88"/>
    </row>
    <row r="956" spans="1:30" ht="23" x14ac:dyDescent="0.15">
      <c r="A956" s="87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  <c r="AC956" s="88"/>
      <c r="AD956" s="88"/>
    </row>
    <row r="957" spans="1:30" ht="23" x14ac:dyDescent="0.15">
      <c r="A957" s="87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  <c r="AC957" s="88"/>
      <c r="AD957" s="88"/>
    </row>
    <row r="958" spans="1:30" ht="23" x14ac:dyDescent="0.15">
      <c r="A958" s="87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  <c r="AC958" s="88"/>
      <c r="AD958" s="88"/>
    </row>
    <row r="959" spans="1:30" ht="23" x14ac:dyDescent="0.15">
      <c r="A959" s="87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  <c r="AC959" s="88"/>
      <c r="AD959" s="88"/>
    </row>
    <row r="960" spans="1:30" ht="23" x14ac:dyDescent="0.15">
      <c r="A960" s="87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  <c r="AC960" s="88"/>
      <c r="AD960" s="88"/>
    </row>
    <row r="961" spans="1:30" ht="23" x14ac:dyDescent="0.15">
      <c r="A961" s="87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  <c r="AC961" s="88"/>
      <c r="AD961" s="88"/>
    </row>
    <row r="962" spans="1:30" ht="23" x14ac:dyDescent="0.15">
      <c r="A962" s="87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  <c r="AC962" s="88"/>
      <c r="AD962" s="88"/>
    </row>
    <row r="963" spans="1:30" ht="23" x14ac:dyDescent="0.15">
      <c r="A963" s="87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  <c r="AC963" s="88"/>
      <c r="AD963" s="88"/>
    </row>
    <row r="964" spans="1:30" ht="23" x14ac:dyDescent="0.15">
      <c r="A964" s="87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  <c r="AC964" s="88"/>
      <c r="AD964" s="88"/>
    </row>
    <row r="965" spans="1:30" ht="23" x14ac:dyDescent="0.15">
      <c r="A965" s="87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  <c r="AC965" s="88"/>
      <c r="AD965" s="88"/>
    </row>
    <row r="966" spans="1:30" ht="23" x14ac:dyDescent="0.15">
      <c r="A966" s="87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  <c r="AC966" s="88"/>
      <c r="AD966" s="88"/>
    </row>
    <row r="967" spans="1:30" ht="23" x14ac:dyDescent="0.15">
      <c r="A967" s="87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  <c r="AD967" s="88"/>
    </row>
    <row r="968" spans="1:30" ht="23" x14ac:dyDescent="0.15">
      <c r="A968" s="87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  <c r="AD968" s="88"/>
    </row>
    <row r="969" spans="1:30" ht="23" x14ac:dyDescent="0.15">
      <c r="A969" s="87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  <c r="AD969" s="88"/>
    </row>
    <row r="970" spans="1:30" ht="23" x14ac:dyDescent="0.15">
      <c r="A970" s="87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  <c r="AD970" s="88"/>
    </row>
    <row r="971" spans="1:30" ht="23" x14ac:dyDescent="0.15">
      <c r="A971" s="87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  <c r="AD971" s="88"/>
    </row>
    <row r="972" spans="1:30" ht="23" x14ac:dyDescent="0.15">
      <c r="A972" s="87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  <c r="AD972" s="88"/>
    </row>
    <row r="973" spans="1:30" ht="23" x14ac:dyDescent="0.15">
      <c r="A973" s="87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  <c r="AD973" s="88"/>
    </row>
    <row r="974" spans="1:30" ht="23" x14ac:dyDescent="0.15">
      <c r="A974" s="87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  <c r="AC974" s="88"/>
      <c r="AD974" s="88"/>
    </row>
    <row r="975" spans="1:30" ht="23" x14ac:dyDescent="0.15">
      <c r="A975" s="87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  <c r="AC975" s="88"/>
      <c r="AD975" s="88"/>
    </row>
    <row r="976" spans="1:30" ht="23" x14ac:dyDescent="0.15">
      <c r="A976" s="87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  <c r="AC976" s="88"/>
      <c r="AD976" s="88"/>
    </row>
    <row r="977" spans="1:30" ht="23" x14ac:dyDescent="0.15">
      <c r="A977" s="87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  <c r="AC977" s="88"/>
      <c r="AD977" s="88"/>
    </row>
    <row r="978" spans="1:30" ht="23" x14ac:dyDescent="0.15">
      <c r="A978" s="87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  <c r="AC978" s="88"/>
      <c r="AD978" s="88"/>
    </row>
    <row r="979" spans="1:30" ht="23" x14ac:dyDescent="0.15">
      <c r="A979" s="87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  <c r="AC979" s="88"/>
      <c r="AD979" s="88"/>
    </row>
    <row r="980" spans="1:30" ht="23" x14ac:dyDescent="0.15">
      <c r="A980" s="87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  <c r="AC980" s="88"/>
      <c r="AD980" s="88"/>
    </row>
    <row r="981" spans="1:30" ht="23" x14ac:dyDescent="0.15">
      <c r="A981" s="87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  <c r="AC981" s="88"/>
      <c r="AD981" s="88"/>
    </row>
    <row r="982" spans="1:30" ht="23" x14ac:dyDescent="0.15">
      <c r="A982" s="87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  <c r="AC982" s="88"/>
      <c r="AD982" s="88"/>
    </row>
    <row r="983" spans="1:30" ht="23" x14ac:dyDescent="0.15">
      <c r="A983" s="87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  <c r="AC983" s="88"/>
      <c r="AD983" s="88"/>
    </row>
    <row r="984" spans="1:30" ht="23" x14ac:dyDescent="0.15">
      <c r="A984" s="87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  <c r="AC984" s="88"/>
      <c r="AD984" s="88"/>
    </row>
    <row r="985" spans="1:30" ht="23" x14ac:dyDescent="0.15">
      <c r="A985" s="87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  <c r="AC985" s="88"/>
      <c r="AD985" s="88"/>
    </row>
    <row r="986" spans="1:30" ht="23" x14ac:dyDescent="0.15">
      <c r="A986" s="87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  <c r="AC986" s="88"/>
      <c r="AD986" s="88"/>
    </row>
    <row r="987" spans="1:30" ht="23" x14ac:dyDescent="0.15">
      <c r="A987" s="87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  <c r="AC987" s="88"/>
      <c r="AD987" s="88"/>
    </row>
    <row r="988" spans="1:30" ht="23" x14ac:dyDescent="0.15">
      <c r="A988" s="87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  <c r="AC988" s="88"/>
      <c r="AD988" s="88"/>
    </row>
    <row r="989" spans="1:30" ht="23" x14ac:dyDescent="0.15">
      <c r="A989" s="87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  <c r="AC989" s="88"/>
      <c r="AD989" s="88"/>
    </row>
    <row r="990" spans="1:30" ht="23" x14ac:dyDescent="0.15">
      <c r="A990" s="87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  <c r="AC990" s="88"/>
      <c r="AD990" s="88"/>
    </row>
    <row r="991" spans="1:30" ht="23" x14ac:dyDescent="0.15">
      <c r="A991" s="87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  <c r="AC991" s="88"/>
      <c r="AD991" s="88"/>
    </row>
    <row r="992" spans="1:30" ht="23" x14ac:dyDescent="0.15">
      <c r="A992" s="87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  <c r="AC992" s="88"/>
      <c r="AD992" s="88"/>
    </row>
    <row r="993" spans="1:30" ht="23" x14ac:dyDescent="0.15">
      <c r="A993" s="87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  <c r="AC993" s="88"/>
      <c r="AD993" s="88"/>
    </row>
    <row r="994" spans="1:30" ht="23" x14ac:dyDescent="0.15">
      <c r="A994" s="87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  <c r="AC994" s="88"/>
      <c r="AD994" s="88"/>
    </row>
    <row r="995" spans="1:30" ht="23" x14ac:dyDescent="0.15">
      <c r="A995" s="87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  <c r="AC995" s="88"/>
      <c r="AD995" s="88"/>
    </row>
    <row r="996" spans="1:30" ht="23" x14ac:dyDescent="0.15">
      <c r="A996" s="87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  <c r="AC996" s="88"/>
      <c r="AD996" s="88"/>
    </row>
    <row r="997" spans="1:30" ht="23" x14ac:dyDescent="0.15">
      <c r="A997" s="87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  <c r="AC997" s="88"/>
      <c r="AD997" s="88"/>
    </row>
    <row r="998" spans="1:30" ht="23" x14ac:dyDescent="0.15">
      <c r="A998" s="87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  <c r="AB998" s="88"/>
      <c r="AC998" s="88"/>
      <c r="AD998" s="88"/>
    </row>
    <row r="999" spans="1:30" ht="23" x14ac:dyDescent="0.15">
      <c r="A999" s="87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  <c r="AB999" s="88"/>
      <c r="AC999" s="88"/>
      <c r="AD999" s="88"/>
    </row>
    <row r="1000" spans="1:30" ht="23" x14ac:dyDescent="0.15">
      <c r="A1000" s="87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  <c r="AA1000" s="88"/>
      <c r="AB1000" s="88"/>
      <c r="AC1000" s="88"/>
      <c r="AD1000" s="88"/>
    </row>
    <row r="1001" spans="1:30" ht="23" x14ac:dyDescent="0.15">
      <c r="A1001" s="87"/>
      <c r="B1001" s="88"/>
      <c r="C1001" s="88"/>
      <c r="D1001" s="88"/>
      <c r="E1001" s="88"/>
      <c r="F1001" s="88"/>
      <c r="G1001" s="88"/>
      <c r="H1001" s="88"/>
      <c r="I1001" s="88"/>
      <c r="J1001" s="88"/>
      <c r="K1001" s="88"/>
      <c r="L1001" s="88"/>
      <c r="M1001" s="88"/>
      <c r="N1001" s="88"/>
      <c r="O1001" s="88"/>
      <c r="P1001" s="88"/>
      <c r="Q1001" s="88"/>
      <c r="R1001" s="88"/>
      <c r="S1001" s="88"/>
      <c r="T1001" s="88"/>
      <c r="U1001" s="88"/>
      <c r="V1001" s="88"/>
      <c r="W1001" s="88"/>
      <c r="X1001" s="88"/>
      <c r="Y1001" s="88"/>
      <c r="Z1001" s="88"/>
      <c r="AA1001" s="88"/>
      <c r="AB1001" s="88"/>
      <c r="AC1001" s="88"/>
      <c r="AD1001" s="88"/>
    </row>
    <row r="1002" spans="1:30" ht="23" x14ac:dyDescent="0.15">
      <c r="A1002" s="87"/>
      <c r="B1002" s="88"/>
      <c r="C1002" s="88"/>
      <c r="D1002" s="88"/>
      <c r="E1002" s="88"/>
      <c r="F1002" s="88"/>
      <c r="G1002" s="88"/>
      <c r="H1002" s="88"/>
      <c r="I1002" s="88"/>
      <c r="J1002" s="88"/>
      <c r="K1002" s="88"/>
      <c r="L1002" s="88"/>
      <c r="M1002" s="88"/>
      <c r="N1002" s="88"/>
      <c r="O1002" s="88"/>
      <c r="P1002" s="88"/>
      <c r="Q1002" s="88"/>
      <c r="R1002" s="88"/>
      <c r="S1002" s="88"/>
      <c r="T1002" s="88"/>
      <c r="U1002" s="88"/>
      <c r="V1002" s="88"/>
      <c r="W1002" s="88"/>
      <c r="X1002" s="88"/>
      <c r="Y1002" s="88"/>
      <c r="Z1002" s="88"/>
      <c r="AA1002" s="88"/>
      <c r="AB1002" s="88"/>
      <c r="AC1002" s="88"/>
      <c r="AD1002" s="88"/>
    </row>
    <row r="1003" spans="1:30" ht="23" x14ac:dyDescent="0.15">
      <c r="A1003" s="87"/>
      <c r="B1003" s="88"/>
      <c r="C1003" s="88"/>
      <c r="D1003" s="88"/>
      <c r="E1003" s="88"/>
      <c r="F1003" s="88"/>
      <c r="G1003" s="88"/>
      <c r="H1003" s="88"/>
      <c r="I1003" s="88"/>
      <c r="J1003" s="88"/>
      <c r="K1003" s="88"/>
      <c r="L1003" s="88"/>
      <c r="M1003" s="88"/>
      <c r="N1003" s="88"/>
      <c r="O1003" s="88"/>
      <c r="P1003" s="88"/>
      <c r="Q1003" s="88"/>
      <c r="R1003" s="88"/>
      <c r="S1003" s="88"/>
      <c r="T1003" s="88"/>
      <c r="U1003" s="88"/>
      <c r="V1003" s="88"/>
      <c r="W1003" s="88"/>
      <c r="X1003" s="88"/>
      <c r="Y1003" s="88"/>
      <c r="Z1003" s="88"/>
      <c r="AA1003" s="88"/>
      <c r="AB1003" s="88"/>
      <c r="AC1003" s="88"/>
      <c r="AD1003" s="88"/>
    </row>
    <row r="1004" spans="1:30" ht="23" x14ac:dyDescent="0.15">
      <c r="A1004" s="87"/>
      <c r="B1004" s="88"/>
      <c r="C1004" s="88"/>
      <c r="D1004" s="88"/>
      <c r="E1004" s="88"/>
      <c r="F1004" s="88"/>
      <c r="G1004" s="88"/>
      <c r="H1004" s="88"/>
      <c r="I1004" s="88"/>
      <c r="J1004" s="88"/>
      <c r="K1004" s="88"/>
      <c r="L1004" s="88"/>
      <c r="M1004" s="88"/>
      <c r="N1004" s="88"/>
      <c r="O1004" s="88"/>
      <c r="P1004" s="88"/>
      <c r="Q1004" s="88"/>
      <c r="R1004" s="88"/>
      <c r="S1004" s="88"/>
      <c r="T1004" s="88"/>
      <c r="U1004" s="88"/>
      <c r="V1004" s="88"/>
      <c r="W1004" s="88"/>
      <c r="X1004" s="88"/>
      <c r="Y1004" s="88"/>
      <c r="Z1004" s="88"/>
      <c r="AA1004" s="88"/>
      <c r="AB1004" s="88"/>
      <c r="AC1004" s="88"/>
      <c r="AD1004" s="88"/>
    </row>
    <row r="1005" spans="1:30" ht="23" x14ac:dyDescent="0.15">
      <c r="A1005" s="87"/>
      <c r="B1005" s="88"/>
      <c r="C1005" s="88"/>
      <c r="D1005" s="88"/>
      <c r="E1005" s="88"/>
      <c r="F1005" s="88"/>
      <c r="G1005" s="88"/>
      <c r="H1005" s="88"/>
      <c r="I1005" s="88"/>
      <c r="J1005" s="88"/>
      <c r="K1005" s="88"/>
      <c r="L1005" s="88"/>
      <c r="M1005" s="88"/>
      <c r="N1005" s="88"/>
      <c r="O1005" s="88"/>
      <c r="P1005" s="88"/>
      <c r="Q1005" s="88"/>
      <c r="R1005" s="88"/>
      <c r="S1005" s="88"/>
      <c r="T1005" s="88"/>
      <c r="U1005" s="88"/>
      <c r="V1005" s="88"/>
      <c r="W1005" s="88"/>
      <c r="X1005" s="88"/>
      <c r="Y1005" s="88"/>
      <c r="Z1005" s="88"/>
      <c r="AA1005" s="88"/>
      <c r="AB1005" s="88"/>
      <c r="AC1005" s="88"/>
      <c r="AD1005" s="88"/>
    </row>
    <row r="1006" spans="1:30" ht="23" x14ac:dyDescent="0.15">
      <c r="A1006" s="87"/>
      <c r="B1006" s="88"/>
      <c r="C1006" s="88"/>
      <c r="D1006" s="88"/>
      <c r="E1006" s="88"/>
      <c r="F1006" s="88"/>
      <c r="G1006" s="88"/>
      <c r="H1006" s="88"/>
      <c r="I1006" s="88"/>
      <c r="J1006" s="88"/>
      <c r="K1006" s="88"/>
      <c r="L1006" s="88"/>
      <c r="M1006" s="88"/>
      <c r="N1006" s="88"/>
      <c r="O1006" s="88"/>
      <c r="P1006" s="88"/>
      <c r="Q1006" s="88"/>
      <c r="R1006" s="88"/>
      <c r="S1006" s="88"/>
      <c r="T1006" s="88"/>
      <c r="U1006" s="88"/>
      <c r="V1006" s="88"/>
      <c r="W1006" s="88"/>
      <c r="X1006" s="88"/>
      <c r="Y1006" s="88"/>
      <c r="Z1006" s="88"/>
      <c r="AA1006" s="88"/>
      <c r="AB1006" s="88"/>
      <c r="AC1006" s="88"/>
      <c r="AD1006" s="88"/>
    </row>
    <row r="1007" spans="1:30" ht="23" x14ac:dyDescent="0.15">
      <c r="A1007" s="87"/>
      <c r="B1007" s="88"/>
      <c r="C1007" s="88"/>
      <c r="D1007" s="88"/>
      <c r="E1007" s="88"/>
      <c r="F1007" s="88"/>
      <c r="G1007" s="88"/>
      <c r="H1007" s="88"/>
      <c r="I1007" s="88"/>
      <c r="J1007" s="88"/>
      <c r="K1007" s="88"/>
      <c r="L1007" s="88"/>
      <c r="M1007" s="88"/>
      <c r="N1007" s="88"/>
      <c r="O1007" s="88"/>
      <c r="P1007" s="88"/>
      <c r="Q1007" s="88"/>
      <c r="R1007" s="88"/>
      <c r="S1007" s="88"/>
      <c r="T1007" s="88"/>
      <c r="U1007" s="88"/>
      <c r="V1007" s="88"/>
      <c r="W1007" s="88"/>
      <c r="X1007" s="88"/>
      <c r="Y1007" s="88"/>
      <c r="Z1007" s="88"/>
      <c r="AA1007" s="88"/>
      <c r="AB1007" s="88"/>
      <c r="AC1007" s="88"/>
      <c r="AD1007" s="88"/>
    </row>
    <row r="1008" spans="1:30" ht="23" x14ac:dyDescent="0.15">
      <c r="A1008" s="87"/>
      <c r="B1008" s="88"/>
      <c r="C1008" s="88"/>
      <c r="D1008" s="88"/>
      <c r="E1008" s="88"/>
      <c r="F1008" s="88"/>
      <c r="G1008" s="88"/>
      <c r="H1008" s="88"/>
      <c r="I1008" s="88"/>
      <c r="J1008" s="88"/>
      <c r="K1008" s="88"/>
      <c r="L1008" s="88"/>
      <c r="M1008" s="88"/>
      <c r="N1008" s="88"/>
      <c r="O1008" s="88"/>
      <c r="P1008" s="88"/>
      <c r="Q1008" s="88"/>
      <c r="R1008" s="88"/>
      <c r="S1008" s="88"/>
      <c r="T1008" s="88"/>
      <c r="U1008" s="88"/>
      <c r="V1008" s="88"/>
      <c r="W1008" s="88"/>
      <c r="X1008" s="88"/>
      <c r="Y1008" s="88"/>
      <c r="Z1008" s="88"/>
      <c r="AA1008" s="88"/>
      <c r="AB1008" s="88"/>
      <c r="AC1008" s="88"/>
      <c r="AD1008" s="88"/>
    </row>
    <row r="1009" spans="1:30" ht="23" x14ac:dyDescent="0.15">
      <c r="A1009" s="87"/>
      <c r="B1009" s="88"/>
      <c r="C1009" s="88"/>
      <c r="D1009" s="88"/>
      <c r="E1009" s="88"/>
      <c r="F1009" s="88"/>
      <c r="G1009" s="88"/>
      <c r="H1009" s="88"/>
      <c r="I1009" s="88"/>
      <c r="J1009" s="88"/>
      <c r="K1009" s="88"/>
      <c r="L1009" s="88"/>
      <c r="M1009" s="88"/>
      <c r="N1009" s="88"/>
      <c r="O1009" s="88"/>
      <c r="P1009" s="88"/>
      <c r="Q1009" s="88"/>
      <c r="R1009" s="88"/>
      <c r="S1009" s="88"/>
      <c r="T1009" s="88"/>
      <c r="U1009" s="88"/>
      <c r="V1009" s="88"/>
      <c r="W1009" s="88"/>
      <c r="X1009" s="88"/>
      <c r="Y1009" s="88"/>
      <c r="Z1009" s="88"/>
      <c r="AA1009" s="88"/>
      <c r="AB1009" s="88"/>
      <c r="AC1009" s="88"/>
      <c r="AD1009" s="88"/>
    </row>
    <row r="1010" spans="1:30" ht="23" x14ac:dyDescent="0.15">
      <c r="A1010" s="87"/>
      <c r="B1010" s="88"/>
      <c r="C1010" s="88"/>
      <c r="D1010" s="88"/>
      <c r="E1010" s="88"/>
      <c r="F1010" s="88"/>
      <c r="G1010" s="88"/>
      <c r="H1010" s="88"/>
      <c r="I1010" s="88"/>
      <c r="J1010" s="88"/>
      <c r="K1010" s="88"/>
      <c r="L1010" s="88"/>
      <c r="M1010" s="88"/>
      <c r="N1010" s="88"/>
      <c r="O1010" s="88"/>
      <c r="P1010" s="88"/>
      <c r="Q1010" s="88"/>
      <c r="R1010" s="88"/>
      <c r="S1010" s="88"/>
      <c r="T1010" s="88"/>
      <c r="U1010" s="88"/>
      <c r="V1010" s="88"/>
      <c r="W1010" s="88"/>
      <c r="X1010" s="88"/>
      <c r="Y1010" s="88"/>
      <c r="Z1010" s="88"/>
      <c r="AA1010" s="88"/>
      <c r="AB1010" s="88"/>
      <c r="AC1010" s="88"/>
      <c r="AD1010" s="88"/>
    </row>
    <row r="1011" spans="1:30" ht="23" x14ac:dyDescent="0.15">
      <c r="A1011" s="87"/>
      <c r="B1011" s="88"/>
      <c r="C1011" s="88"/>
      <c r="D1011" s="88"/>
      <c r="E1011" s="88"/>
      <c r="F1011" s="88"/>
      <c r="G1011" s="88"/>
      <c r="H1011" s="88"/>
      <c r="I1011" s="88"/>
      <c r="J1011" s="88"/>
      <c r="K1011" s="88"/>
      <c r="L1011" s="88"/>
      <c r="M1011" s="88"/>
      <c r="N1011" s="88"/>
      <c r="O1011" s="88"/>
      <c r="P1011" s="88"/>
      <c r="Q1011" s="88"/>
      <c r="R1011" s="88"/>
      <c r="S1011" s="88"/>
      <c r="T1011" s="88"/>
      <c r="U1011" s="88"/>
      <c r="V1011" s="88"/>
      <c r="W1011" s="88"/>
      <c r="X1011" s="88"/>
      <c r="Y1011" s="88"/>
      <c r="Z1011" s="88"/>
      <c r="AA1011" s="88"/>
      <c r="AB1011" s="88"/>
      <c r="AC1011" s="88"/>
      <c r="AD1011" s="88"/>
    </row>
    <row r="1012" spans="1:30" ht="23" x14ac:dyDescent="0.15">
      <c r="A1012" s="87"/>
      <c r="B1012" s="88"/>
      <c r="C1012" s="88"/>
      <c r="D1012" s="88"/>
      <c r="E1012" s="88"/>
      <c r="F1012" s="88"/>
      <c r="G1012" s="88"/>
      <c r="H1012" s="88"/>
      <c r="I1012" s="88"/>
      <c r="J1012" s="88"/>
      <c r="K1012" s="88"/>
      <c r="L1012" s="88"/>
      <c r="M1012" s="88"/>
      <c r="N1012" s="88"/>
      <c r="O1012" s="88"/>
      <c r="P1012" s="88"/>
      <c r="Q1012" s="88"/>
      <c r="R1012" s="88"/>
      <c r="S1012" s="88"/>
      <c r="T1012" s="88"/>
      <c r="U1012" s="88"/>
      <c r="V1012" s="88"/>
      <c r="W1012" s="88"/>
      <c r="X1012" s="88"/>
      <c r="Y1012" s="88"/>
      <c r="Z1012" s="88"/>
      <c r="AA1012" s="88"/>
      <c r="AB1012" s="88"/>
      <c r="AC1012" s="88"/>
      <c r="AD1012" s="88"/>
    </row>
    <row r="1013" spans="1:30" ht="23" x14ac:dyDescent="0.15">
      <c r="A1013" s="87"/>
      <c r="B1013" s="88"/>
      <c r="C1013" s="88"/>
      <c r="D1013" s="88"/>
      <c r="E1013" s="88"/>
      <c r="F1013" s="88"/>
      <c r="G1013" s="88"/>
      <c r="H1013" s="88"/>
      <c r="I1013" s="88"/>
      <c r="J1013" s="88"/>
      <c r="K1013" s="88"/>
      <c r="L1013" s="88"/>
      <c r="M1013" s="88"/>
      <c r="N1013" s="88"/>
      <c r="O1013" s="88"/>
      <c r="P1013" s="88"/>
      <c r="Q1013" s="88"/>
      <c r="R1013" s="88"/>
      <c r="S1013" s="88"/>
      <c r="T1013" s="88"/>
      <c r="U1013" s="88"/>
      <c r="V1013" s="88"/>
      <c r="W1013" s="88"/>
      <c r="X1013" s="88"/>
      <c r="Y1013" s="88"/>
      <c r="Z1013" s="88"/>
      <c r="AA1013" s="88"/>
      <c r="AB1013" s="88"/>
      <c r="AC1013" s="88"/>
      <c r="AD1013" s="88"/>
    </row>
    <row r="1014" spans="1:30" ht="23" x14ac:dyDescent="0.15">
      <c r="A1014" s="87"/>
      <c r="B1014" s="88"/>
      <c r="C1014" s="88"/>
      <c r="D1014" s="88"/>
      <c r="E1014" s="88"/>
      <c r="F1014" s="88"/>
      <c r="G1014" s="88"/>
      <c r="H1014" s="88"/>
      <c r="I1014" s="88"/>
      <c r="J1014" s="88"/>
      <c r="K1014" s="88"/>
      <c r="L1014" s="88"/>
      <c r="M1014" s="88"/>
      <c r="N1014" s="88"/>
      <c r="O1014" s="88"/>
      <c r="P1014" s="88"/>
      <c r="Q1014" s="88"/>
      <c r="R1014" s="88"/>
      <c r="S1014" s="88"/>
      <c r="T1014" s="88"/>
      <c r="U1014" s="88"/>
      <c r="V1014" s="88"/>
      <c r="W1014" s="88"/>
      <c r="X1014" s="88"/>
      <c r="Y1014" s="88"/>
      <c r="Z1014" s="88"/>
      <c r="AA1014" s="88"/>
      <c r="AB1014" s="88"/>
      <c r="AC1014" s="88"/>
      <c r="AD1014" s="88"/>
    </row>
  </sheetData>
  <mergeCells count="22">
    <mergeCell ref="C21:E21"/>
    <mergeCell ref="C22:E22"/>
    <mergeCell ref="C23:E23"/>
    <mergeCell ref="B33:B45"/>
    <mergeCell ref="C3:J3"/>
    <mergeCell ref="C5:E5"/>
    <mergeCell ref="C17:J17"/>
    <mergeCell ref="C18:E18"/>
    <mergeCell ref="G18:J18"/>
    <mergeCell ref="C20:J20"/>
    <mergeCell ref="G21:J21"/>
    <mergeCell ref="C31:C32"/>
    <mergeCell ref="D31:G31"/>
    <mergeCell ref="H31:J31"/>
    <mergeCell ref="K31:L31"/>
    <mergeCell ref="G22:J22"/>
    <mergeCell ref="G23:J23"/>
    <mergeCell ref="G24:J24"/>
    <mergeCell ref="C26:J26"/>
    <mergeCell ref="C27:E27"/>
    <mergeCell ref="C28:E28"/>
    <mergeCell ref="G29:J29"/>
  </mergeCells>
  <conditionalFormatting sqref="D33:G45">
    <cfRule type="colorScale" priority="1">
      <colorScale>
        <cfvo type="min"/>
        <cfvo type="max"/>
        <color rgb="FFF4CCCC"/>
        <color rgb="FFD9EAD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16"/>
  <sheetViews>
    <sheetView workbookViewId="0">
      <selection activeCell="H13" sqref="H13"/>
    </sheetView>
  </sheetViews>
  <sheetFormatPr baseColWidth="10" defaultColWidth="12.6640625" defaultRowHeight="15.75" customHeight="1" x14ac:dyDescent="0.15"/>
  <cols>
    <col min="1" max="2" width="3" customWidth="1"/>
    <col min="3" max="12" width="24.6640625" customWidth="1"/>
  </cols>
  <sheetData>
    <row r="1" spans="1:30" ht="23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" x14ac:dyDescent="0.15">
      <c r="A2" s="1"/>
      <c r="B2" s="2"/>
      <c r="C2" s="3" t="s">
        <v>42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0.25" customHeight="1" x14ac:dyDescent="0.15">
      <c r="A3" s="1"/>
      <c r="B3" s="2"/>
      <c r="C3" s="191" t="s">
        <v>43</v>
      </c>
      <c r="D3" s="192"/>
      <c r="E3" s="192"/>
      <c r="F3" s="192"/>
      <c r="G3" s="192"/>
      <c r="H3" s="192"/>
      <c r="I3" s="192"/>
      <c r="J3" s="20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3" x14ac:dyDescent="0.1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" x14ac:dyDescent="0.25">
      <c r="A5" s="1"/>
      <c r="B5" s="4"/>
      <c r="C5" s="204" t="s">
        <v>2</v>
      </c>
      <c r="D5" s="205"/>
      <c r="E5" s="205"/>
      <c r="F5" s="6" t="s">
        <v>3</v>
      </c>
      <c r="G5" s="7"/>
      <c r="H5" s="8" t="s">
        <v>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3" x14ac:dyDescent="0.25">
      <c r="A6" s="1"/>
      <c r="B6" s="4"/>
      <c r="C6" s="10" t="s">
        <v>5</v>
      </c>
      <c r="D6" s="11"/>
      <c r="E6" s="11"/>
      <c r="F6" s="12">
        <v>5000000</v>
      </c>
      <c r="G6" s="13"/>
      <c r="H6" s="14" t="s">
        <v>6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3" x14ac:dyDescent="0.25">
      <c r="A7" s="1"/>
      <c r="B7" s="4"/>
      <c r="C7" s="10" t="s">
        <v>7</v>
      </c>
      <c r="D7" s="16"/>
      <c r="E7" s="16"/>
      <c r="F7" s="17">
        <v>1.8</v>
      </c>
      <c r="G7" s="18"/>
      <c r="H7" s="19" t="s">
        <v>8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" x14ac:dyDescent="0.15">
      <c r="A8" s="1"/>
      <c r="B8" s="4"/>
      <c r="C8" s="20" t="s">
        <v>9</v>
      </c>
      <c r="D8" s="21"/>
      <c r="E8" s="21"/>
      <c r="F8" s="22"/>
      <c r="G8" s="9"/>
      <c r="H8" s="2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3" x14ac:dyDescent="0.15">
      <c r="A9" s="1"/>
      <c r="B9" s="4"/>
      <c r="C9" s="10" t="s">
        <v>11</v>
      </c>
      <c r="D9" s="21"/>
      <c r="E9" s="21"/>
      <c r="F9" s="24">
        <v>0.06</v>
      </c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3" x14ac:dyDescent="0.15">
      <c r="A10" s="1"/>
      <c r="B10" s="4"/>
      <c r="C10" s="10" t="s">
        <v>12</v>
      </c>
      <c r="D10" s="21"/>
      <c r="E10" s="21"/>
      <c r="F10" s="24">
        <v>6.5000000000000002E-2</v>
      </c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3" x14ac:dyDescent="0.15">
      <c r="A11" s="1"/>
      <c r="B11" s="4"/>
      <c r="C11" s="20" t="s">
        <v>14</v>
      </c>
      <c r="D11" s="16"/>
      <c r="E11" s="16"/>
      <c r="F11" s="25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3" x14ac:dyDescent="0.15">
      <c r="A12" s="1"/>
      <c r="B12" s="4"/>
      <c r="C12" s="10" t="s">
        <v>15</v>
      </c>
      <c r="D12" s="16"/>
      <c r="E12" s="16"/>
      <c r="F12" s="17">
        <v>1.75</v>
      </c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" x14ac:dyDescent="0.15">
      <c r="A13" s="1"/>
      <c r="B13" s="4"/>
      <c r="C13" s="20" t="s">
        <v>16</v>
      </c>
      <c r="D13" s="2"/>
      <c r="E13" s="2"/>
      <c r="F13" s="26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" x14ac:dyDescent="0.25">
      <c r="A14" s="1"/>
      <c r="B14" s="4"/>
      <c r="C14" s="27" t="s">
        <v>44</v>
      </c>
      <c r="D14" s="28"/>
      <c r="E14" s="28"/>
      <c r="F14" s="29">
        <f>F7</f>
        <v>1.8</v>
      </c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3" x14ac:dyDescent="0.25">
      <c r="A15" s="1"/>
      <c r="B15" s="4"/>
      <c r="C15" s="30" t="s">
        <v>45</v>
      </c>
      <c r="D15" s="31"/>
      <c r="E15" s="31"/>
      <c r="F15" s="32">
        <v>0.01</v>
      </c>
      <c r="G15" s="9"/>
      <c r="H15" s="33"/>
      <c r="I15" s="2"/>
      <c r="J15" s="33"/>
      <c r="K15" s="33"/>
      <c r="L15" s="33"/>
      <c r="M15" s="3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3" x14ac:dyDescent="0.25">
      <c r="A16" s="1"/>
      <c r="B16" s="2"/>
      <c r="C16" s="34"/>
      <c r="D16" s="34"/>
      <c r="E16" s="34"/>
      <c r="F16" s="34"/>
      <c r="G16" s="35"/>
      <c r="H16" s="35"/>
      <c r="I16" s="5"/>
      <c r="J16" s="36"/>
      <c r="K16" s="3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" x14ac:dyDescent="0.25">
      <c r="A17" s="1"/>
      <c r="B17" s="4"/>
      <c r="C17" s="206" t="s">
        <v>19</v>
      </c>
      <c r="D17" s="198"/>
      <c r="E17" s="198"/>
      <c r="F17" s="198"/>
      <c r="G17" s="198"/>
      <c r="H17" s="198"/>
      <c r="I17" s="198"/>
      <c r="J17" s="199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" x14ac:dyDescent="0.15">
      <c r="A18" s="1"/>
      <c r="B18" s="4"/>
      <c r="C18" s="207" t="s">
        <v>46</v>
      </c>
      <c r="D18" s="195"/>
      <c r="E18" s="208"/>
      <c r="F18" s="37">
        <f>contract_notional_value_payable*forward_price_payable</f>
        <v>8750000</v>
      </c>
      <c r="G18" s="194" t="s">
        <v>21</v>
      </c>
      <c r="H18" s="195"/>
      <c r="I18" s="195"/>
      <c r="J18" s="196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3" x14ac:dyDescent="0.15">
      <c r="A19" s="1"/>
      <c r="B19" s="2"/>
      <c r="C19" s="34"/>
      <c r="D19" s="34"/>
      <c r="E19" s="34"/>
      <c r="F19" s="34"/>
      <c r="G19" s="38"/>
      <c r="H19" s="34"/>
      <c r="I19" s="34"/>
      <c r="J19" s="3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" x14ac:dyDescent="0.15">
      <c r="A20" s="1"/>
      <c r="B20" s="4"/>
      <c r="C20" s="197" t="s">
        <v>22</v>
      </c>
      <c r="D20" s="198"/>
      <c r="E20" s="198"/>
      <c r="F20" s="198"/>
      <c r="G20" s="198"/>
      <c r="H20" s="198"/>
      <c r="I20" s="198"/>
      <c r="J20" s="199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3" x14ac:dyDescent="0.15">
      <c r="A21" s="1"/>
      <c r="B21" s="4"/>
      <c r="C21" s="200" t="s">
        <v>47</v>
      </c>
      <c r="D21" s="192"/>
      <c r="E21" s="201"/>
      <c r="F21" s="39">
        <f>contract_notional_value_payable/(1+rate_uk_1y_payable)</f>
        <v>4694835.6807511738</v>
      </c>
      <c r="G21" s="191"/>
      <c r="H21" s="192"/>
      <c r="I21" s="192"/>
      <c r="J21" s="193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3" x14ac:dyDescent="0.15">
      <c r="A22" s="1"/>
      <c r="B22" s="4"/>
      <c r="C22" s="200" t="s">
        <v>48</v>
      </c>
      <c r="D22" s="192"/>
      <c r="E22" s="201"/>
      <c r="F22" s="40">
        <f>F21*current_spot_price_payable</f>
        <v>8450704.2253521122</v>
      </c>
      <c r="G22" s="191"/>
      <c r="H22" s="192"/>
      <c r="I22" s="192"/>
      <c r="J22" s="193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3" x14ac:dyDescent="0.15">
      <c r="A23" s="1"/>
      <c r="B23" s="4"/>
      <c r="C23" s="200" t="s">
        <v>49</v>
      </c>
      <c r="D23" s="192"/>
      <c r="E23" s="201"/>
      <c r="F23" s="39">
        <f>F22/current_spot_price_payable</f>
        <v>4694835.6807511738</v>
      </c>
      <c r="G23" s="43"/>
      <c r="H23" s="43"/>
      <c r="I23" s="43"/>
      <c r="J23" s="43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" x14ac:dyDescent="0.15">
      <c r="A24" s="1"/>
      <c r="B24" s="4"/>
      <c r="C24" s="200" t="s">
        <v>50</v>
      </c>
      <c r="D24" s="192"/>
      <c r="E24" s="201"/>
      <c r="F24" s="39">
        <f>F23*(1+rate_uk_1y_payable)</f>
        <v>5000000</v>
      </c>
      <c r="G24" s="43"/>
      <c r="H24" s="43"/>
      <c r="I24" s="43"/>
      <c r="J24" s="43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3" x14ac:dyDescent="0.15">
      <c r="A25" s="1"/>
      <c r="B25" s="4"/>
      <c r="C25" s="200" t="s">
        <v>51</v>
      </c>
      <c r="D25" s="192"/>
      <c r="E25" s="201"/>
      <c r="F25" s="40">
        <f>F22*(1+rate_us_1y_payable)</f>
        <v>8957746.4788732398</v>
      </c>
      <c r="G25" s="191"/>
      <c r="H25" s="192"/>
      <c r="I25" s="192"/>
      <c r="J25" s="193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" x14ac:dyDescent="0.15">
      <c r="A26" s="1"/>
      <c r="B26" s="4"/>
      <c r="C26" s="41"/>
      <c r="D26" s="42"/>
      <c r="E26" s="42"/>
      <c r="F26" s="37">
        <f>F25</f>
        <v>8957746.4788732398</v>
      </c>
      <c r="G26" s="194" t="s">
        <v>21</v>
      </c>
      <c r="H26" s="195"/>
      <c r="I26" s="195"/>
      <c r="J26" s="196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" x14ac:dyDescent="0.15">
      <c r="A27" s="1"/>
      <c r="B27" s="2"/>
      <c r="C27" s="34"/>
      <c r="D27" s="34"/>
      <c r="E27" s="34"/>
      <c r="F27" s="34"/>
      <c r="G27" s="38"/>
      <c r="H27" s="34"/>
      <c r="I27" s="34"/>
      <c r="J27" s="3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" x14ac:dyDescent="0.15">
      <c r="A28" s="1"/>
      <c r="B28" s="4"/>
      <c r="C28" s="197" t="s">
        <v>26</v>
      </c>
      <c r="D28" s="198"/>
      <c r="E28" s="198"/>
      <c r="F28" s="198"/>
      <c r="G28" s="198"/>
      <c r="H28" s="198"/>
      <c r="I28" s="198"/>
      <c r="J28" s="199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" x14ac:dyDescent="0.25">
      <c r="A29" s="1"/>
      <c r="B29" s="4"/>
      <c r="C29" s="200" t="s">
        <v>52</v>
      </c>
      <c r="D29" s="192"/>
      <c r="E29" s="201"/>
      <c r="F29" s="40">
        <f>-call_price*contract_notional_value_payable</f>
        <v>-50000</v>
      </c>
      <c r="G29" s="33"/>
      <c r="H29" s="2"/>
      <c r="I29" s="2"/>
      <c r="J29" s="43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3" x14ac:dyDescent="0.25">
      <c r="A30" s="1"/>
      <c r="B30" s="4"/>
      <c r="C30" s="200" t="s">
        <v>28</v>
      </c>
      <c r="D30" s="192"/>
      <c r="E30" s="201"/>
      <c r="F30" s="40">
        <f>F29*(1+rate_us_1y_payable)</f>
        <v>-53000</v>
      </c>
      <c r="G30" s="33"/>
      <c r="H30" s="2"/>
      <c r="I30" s="2"/>
      <c r="J30" s="43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" x14ac:dyDescent="0.15">
      <c r="A31" s="1"/>
      <c r="B31" s="4"/>
      <c r="C31" s="41"/>
      <c r="D31" s="44"/>
      <c r="E31" s="44"/>
      <c r="F31" s="45">
        <f>MAX(G35:G47)</f>
        <v>9053000.0000000019</v>
      </c>
      <c r="G31" s="194" t="s">
        <v>53</v>
      </c>
      <c r="H31" s="195"/>
      <c r="I31" s="195"/>
      <c r="J31" s="196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" x14ac:dyDescent="0.15">
      <c r="A32" s="1"/>
      <c r="B32" s="2"/>
      <c r="C32" s="46"/>
      <c r="D32" s="46"/>
      <c r="E32" s="46"/>
      <c r="F32" s="46"/>
      <c r="G32" s="62"/>
      <c r="H32" s="46"/>
      <c r="I32" s="46"/>
      <c r="J32" s="4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3" x14ac:dyDescent="0.15">
      <c r="A33" s="1"/>
      <c r="B33" s="4"/>
      <c r="C33" s="209" t="s">
        <v>30</v>
      </c>
      <c r="D33" s="189" t="s">
        <v>54</v>
      </c>
      <c r="E33" s="211"/>
      <c r="F33" s="211"/>
      <c r="G33" s="190"/>
      <c r="H33" s="212" t="s">
        <v>32</v>
      </c>
      <c r="I33" s="211"/>
      <c r="J33" s="190"/>
      <c r="K33" s="189" t="s">
        <v>33</v>
      </c>
      <c r="L33" s="190"/>
      <c r="M33" s="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3" x14ac:dyDescent="0.15">
      <c r="A34" s="1"/>
      <c r="B34" s="4"/>
      <c r="C34" s="210"/>
      <c r="D34" s="47" t="s">
        <v>34</v>
      </c>
      <c r="E34" s="48" t="s">
        <v>19</v>
      </c>
      <c r="F34" s="49" t="s">
        <v>22</v>
      </c>
      <c r="G34" s="50" t="s">
        <v>26</v>
      </c>
      <c r="H34" s="51" t="s">
        <v>35</v>
      </c>
      <c r="I34" s="52" t="s">
        <v>22</v>
      </c>
      <c r="J34" s="53" t="s">
        <v>26</v>
      </c>
      <c r="K34" s="47" t="s">
        <v>36</v>
      </c>
      <c r="L34" s="54" t="s">
        <v>37</v>
      </c>
      <c r="M34" s="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3" x14ac:dyDescent="0.25">
      <c r="A35" s="55"/>
      <c r="B35" s="178" t="s">
        <v>38</v>
      </c>
      <c r="C35" s="56">
        <f t="shared" ref="C35:C40" si="0">C36-0.05</f>
        <v>1.4999999999999998</v>
      </c>
      <c r="D35" s="63">
        <f t="shared" ref="D35:D47" si="1">future_spot_price_payable*contract_notional_value_payable</f>
        <v>7499999.9999999991</v>
      </c>
      <c r="E35" s="64">
        <f t="shared" ref="E35:E47" si="2">$D35+(forward_price_payable-future_spot_price_payable)*contract_notional_value_payable</f>
        <v>8750000</v>
      </c>
      <c r="F35" s="65">
        <f t="shared" ref="F35:F47" si="3">$F$26</f>
        <v>8957746.4788732398</v>
      </c>
      <c r="G35" s="66">
        <f t="shared" ref="G35:G47" si="4">$D35-J35</f>
        <v>7552999.9999999991</v>
      </c>
      <c r="H35" s="67">
        <f t="shared" ref="H35:H47" si="5">(forward_price_payable-future_spot_price_payable)*contract_notional_value_payable</f>
        <v>1250000.0000000012</v>
      </c>
      <c r="I35" s="68">
        <f t="shared" ref="I35:I47" si="6">$F$26-D35</f>
        <v>1457746.4788732408</v>
      </c>
      <c r="J35" s="69">
        <f t="shared" ref="J35:J47" si="7">F$30+MAX(0,(future_spot_price_payable-call_strike)*contract_notional_value_payable)</f>
        <v>-53000</v>
      </c>
      <c r="K35" s="70" t="str">
        <f>IF(E35= MIN(D35,E35,F35,G35),$E$34,IF(F35= MIN(D35,E35,F35,G35),$F$34,IF(G35= MIN(D35,E35,F35,G35),$G$34,$D$34)))</f>
        <v>0. No Hedge</v>
      </c>
      <c r="L35" s="71" t="str">
        <f>IF(E35= MIN(E35,F35,G35),$E$34,IF(F35= MIN(E35,F35,G35),$F$34,$G$34))</f>
        <v>3. Option Hedge</v>
      </c>
      <c r="M35" s="9" t="s">
        <v>55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3" x14ac:dyDescent="0.25">
      <c r="A36" s="55"/>
      <c r="B36" s="202"/>
      <c r="C36" s="57">
        <f t="shared" si="0"/>
        <v>1.5499999999999998</v>
      </c>
      <c r="D36" s="72">
        <f t="shared" si="1"/>
        <v>7749999.9999999991</v>
      </c>
      <c r="E36" s="40">
        <f t="shared" si="2"/>
        <v>8750000</v>
      </c>
      <c r="F36" s="73">
        <f t="shared" si="3"/>
        <v>8957746.4788732398</v>
      </c>
      <c r="G36" s="74">
        <f t="shared" si="4"/>
        <v>7802999.9999999991</v>
      </c>
      <c r="H36" s="75">
        <f t="shared" si="5"/>
        <v>1000000.0000000009</v>
      </c>
      <c r="I36" s="76">
        <f t="shared" si="6"/>
        <v>1207746.4788732408</v>
      </c>
      <c r="J36" s="77">
        <f t="shared" si="7"/>
        <v>-53000</v>
      </c>
      <c r="K36" s="78" t="str">
        <f t="shared" ref="K36:K47" si="8">IF(E36= MIN(D36,E36,F36,G36),$E$34,IF(F36= MIN(D36,E36,F36,G36),$F$34,IF(G36= MIN(D36,E36,F36,G36),$G$34,$D$34)))</f>
        <v>0. No Hedge</v>
      </c>
      <c r="L36" s="59" t="str">
        <f t="shared" ref="L36:L47" si="9">IF(E36= MIN(E36,F36,G36),$E$34,IF(F36= MIN(E36,F36,G36),$F$34,$G$34))</f>
        <v>3. Option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3" x14ac:dyDescent="0.25">
      <c r="A37" s="55"/>
      <c r="B37" s="202"/>
      <c r="C37" s="57">
        <f t="shared" si="0"/>
        <v>1.5999999999999999</v>
      </c>
      <c r="D37" s="72">
        <f t="shared" si="1"/>
        <v>7999999.9999999991</v>
      </c>
      <c r="E37" s="40">
        <f t="shared" si="2"/>
        <v>8750000</v>
      </c>
      <c r="F37" s="73">
        <f t="shared" si="3"/>
        <v>8957746.4788732398</v>
      </c>
      <c r="G37" s="74">
        <f t="shared" si="4"/>
        <v>8052999.9999999991</v>
      </c>
      <c r="H37" s="75">
        <f t="shared" si="5"/>
        <v>750000.0000000007</v>
      </c>
      <c r="I37" s="76">
        <f t="shared" si="6"/>
        <v>957746.47887324076</v>
      </c>
      <c r="J37" s="77">
        <f t="shared" si="7"/>
        <v>-53000</v>
      </c>
      <c r="K37" s="78" t="str">
        <f t="shared" si="8"/>
        <v>0. No Hedge</v>
      </c>
      <c r="L37" s="59" t="str">
        <f t="shared" si="9"/>
        <v>3. Option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3" x14ac:dyDescent="0.25">
      <c r="A38" s="55"/>
      <c r="B38" s="202"/>
      <c r="C38" s="57">
        <f t="shared" si="0"/>
        <v>1.65</v>
      </c>
      <c r="D38" s="72">
        <f t="shared" si="1"/>
        <v>8250000</v>
      </c>
      <c r="E38" s="40">
        <f t="shared" si="2"/>
        <v>8750000</v>
      </c>
      <c r="F38" s="73">
        <f t="shared" si="3"/>
        <v>8957746.4788732398</v>
      </c>
      <c r="G38" s="74">
        <f t="shared" si="4"/>
        <v>8303000</v>
      </c>
      <c r="H38" s="75">
        <f t="shared" si="5"/>
        <v>500000.00000000047</v>
      </c>
      <c r="I38" s="76">
        <f t="shared" si="6"/>
        <v>707746.47887323983</v>
      </c>
      <c r="J38" s="77">
        <f t="shared" si="7"/>
        <v>-53000</v>
      </c>
      <c r="K38" s="78" t="str">
        <f t="shared" si="8"/>
        <v>0. No Hedge</v>
      </c>
      <c r="L38" s="59" t="str">
        <f t="shared" si="9"/>
        <v>3. Option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3" x14ac:dyDescent="0.25">
      <c r="A39" s="55"/>
      <c r="B39" s="202"/>
      <c r="C39" s="57">
        <f t="shared" si="0"/>
        <v>1.7</v>
      </c>
      <c r="D39" s="72">
        <f t="shared" si="1"/>
        <v>8500000</v>
      </c>
      <c r="E39" s="40">
        <f t="shared" si="2"/>
        <v>8750000</v>
      </c>
      <c r="F39" s="73">
        <f t="shared" si="3"/>
        <v>8957746.4788732398</v>
      </c>
      <c r="G39" s="74">
        <f t="shared" si="4"/>
        <v>8553000</v>
      </c>
      <c r="H39" s="75">
        <f t="shared" si="5"/>
        <v>250000.00000000023</v>
      </c>
      <c r="I39" s="76">
        <f t="shared" si="6"/>
        <v>457746.47887323983</v>
      </c>
      <c r="J39" s="77">
        <f t="shared" si="7"/>
        <v>-53000</v>
      </c>
      <c r="K39" s="78" t="str">
        <f t="shared" si="8"/>
        <v>0. No Hedge</v>
      </c>
      <c r="L39" s="59" t="str">
        <f t="shared" si="9"/>
        <v>3. Option Hedge</v>
      </c>
      <c r="M39" s="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3" x14ac:dyDescent="0.25">
      <c r="A40" s="55"/>
      <c r="B40" s="202"/>
      <c r="C40" s="57">
        <f t="shared" si="0"/>
        <v>1.75</v>
      </c>
      <c r="D40" s="72">
        <f t="shared" si="1"/>
        <v>8750000</v>
      </c>
      <c r="E40" s="40">
        <f t="shared" si="2"/>
        <v>8750000</v>
      </c>
      <c r="F40" s="73">
        <f t="shared" si="3"/>
        <v>8957746.4788732398</v>
      </c>
      <c r="G40" s="74">
        <f t="shared" si="4"/>
        <v>8803000</v>
      </c>
      <c r="H40" s="75">
        <f t="shared" si="5"/>
        <v>0</v>
      </c>
      <c r="I40" s="76">
        <f t="shared" si="6"/>
        <v>207746.47887323983</v>
      </c>
      <c r="J40" s="77">
        <f t="shared" si="7"/>
        <v>-53000</v>
      </c>
      <c r="K40" s="78" t="str">
        <f t="shared" si="8"/>
        <v>1. Forward Hedge</v>
      </c>
      <c r="L40" s="58" t="str">
        <f t="shared" si="9"/>
        <v>1. Forward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3" x14ac:dyDescent="0.25">
      <c r="A41" s="55"/>
      <c r="B41" s="202"/>
      <c r="C41" s="57">
        <f>F7</f>
        <v>1.8</v>
      </c>
      <c r="D41" s="72">
        <f t="shared" si="1"/>
        <v>9000000</v>
      </c>
      <c r="E41" s="40">
        <f t="shared" si="2"/>
        <v>8750000</v>
      </c>
      <c r="F41" s="73">
        <f t="shared" si="3"/>
        <v>8957746.4788732398</v>
      </c>
      <c r="G41" s="74">
        <f t="shared" si="4"/>
        <v>9053000</v>
      </c>
      <c r="H41" s="75">
        <f t="shared" si="5"/>
        <v>-250000.00000000023</v>
      </c>
      <c r="I41" s="76">
        <f t="shared" si="6"/>
        <v>-42253.52112676017</v>
      </c>
      <c r="J41" s="77">
        <f t="shared" si="7"/>
        <v>-53000</v>
      </c>
      <c r="K41" s="78" t="str">
        <f t="shared" si="8"/>
        <v>1. Forward Hedge</v>
      </c>
      <c r="L41" s="58" t="str">
        <f t="shared" si="9"/>
        <v>1. Forward Hedge</v>
      </c>
      <c r="M41" s="9" t="s">
        <v>40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3" x14ac:dyDescent="0.25">
      <c r="A42" s="55"/>
      <c r="B42" s="202"/>
      <c r="C42" s="57">
        <f t="shared" ref="C42:C47" si="10">C41+0.05</f>
        <v>1.85</v>
      </c>
      <c r="D42" s="72">
        <f t="shared" si="1"/>
        <v>9250000</v>
      </c>
      <c r="E42" s="40">
        <f t="shared" si="2"/>
        <v>8750000</v>
      </c>
      <c r="F42" s="73">
        <f t="shared" si="3"/>
        <v>8957746.4788732398</v>
      </c>
      <c r="G42" s="74">
        <f t="shared" si="4"/>
        <v>9053000</v>
      </c>
      <c r="H42" s="75">
        <f t="shared" si="5"/>
        <v>-500000.00000000047</v>
      </c>
      <c r="I42" s="76">
        <f t="shared" si="6"/>
        <v>-292253.52112676017</v>
      </c>
      <c r="J42" s="77">
        <f t="shared" si="7"/>
        <v>197000.00000000023</v>
      </c>
      <c r="K42" s="78" t="str">
        <f t="shared" si="8"/>
        <v>1. Forward Hedge</v>
      </c>
      <c r="L42" s="58" t="str">
        <f t="shared" si="9"/>
        <v>1. Forward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3" x14ac:dyDescent="0.25">
      <c r="A43" s="55"/>
      <c r="B43" s="202"/>
      <c r="C43" s="57">
        <f t="shared" si="10"/>
        <v>1.9000000000000001</v>
      </c>
      <c r="D43" s="72">
        <f t="shared" si="1"/>
        <v>9500000</v>
      </c>
      <c r="E43" s="40">
        <f t="shared" si="2"/>
        <v>8750000</v>
      </c>
      <c r="F43" s="73">
        <f t="shared" si="3"/>
        <v>8957746.4788732398</v>
      </c>
      <c r="G43" s="74">
        <f t="shared" si="4"/>
        <v>9053000</v>
      </c>
      <c r="H43" s="75">
        <f t="shared" si="5"/>
        <v>-750000.0000000007</v>
      </c>
      <c r="I43" s="76">
        <f t="shared" si="6"/>
        <v>-542253.52112676017</v>
      </c>
      <c r="J43" s="77">
        <f t="shared" si="7"/>
        <v>447000.00000000047</v>
      </c>
      <c r="K43" s="78" t="str">
        <f t="shared" si="8"/>
        <v>1. Forward Hedge</v>
      </c>
      <c r="L43" s="58" t="str">
        <f t="shared" si="9"/>
        <v>1. Forward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3" x14ac:dyDescent="0.25">
      <c r="A44" s="55"/>
      <c r="B44" s="202"/>
      <c r="C44" s="57">
        <f t="shared" si="10"/>
        <v>1.9500000000000002</v>
      </c>
      <c r="D44" s="72">
        <f t="shared" si="1"/>
        <v>9750000</v>
      </c>
      <c r="E44" s="40">
        <f t="shared" si="2"/>
        <v>8750000</v>
      </c>
      <c r="F44" s="73">
        <f t="shared" si="3"/>
        <v>8957746.4788732398</v>
      </c>
      <c r="G44" s="74">
        <f t="shared" si="4"/>
        <v>9053000</v>
      </c>
      <c r="H44" s="75">
        <f t="shared" si="5"/>
        <v>-1000000.0000000009</v>
      </c>
      <c r="I44" s="76">
        <f t="shared" si="6"/>
        <v>-792253.52112676017</v>
      </c>
      <c r="J44" s="77">
        <f t="shared" si="7"/>
        <v>697000.0000000007</v>
      </c>
      <c r="K44" s="78" t="str">
        <f t="shared" si="8"/>
        <v>1. Forward Hedge</v>
      </c>
      <c r="L44" s="59" t="str">
        <f t="shared" si="9"/>
        <v>1. Forward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3" x14ac:dyDescent="0.25">
      <c r="A45" s="55"/>
      <c r="B45" s="202"/>
      <c r="C45" s="57">
        <f t="shared" si="10"/>
        <v>2</v>
      </c>
      <c r="D45" s="72">
        <f t="shared" si="1"/>
        <v>10000000</v>
      </c>
      <c r="E45" s="40">
        <f t="shared" si="2"/>
        <v>8750000</v>
      </c>
      <c r="F45" s="73">
        <f t="shared" si="3"/>
        <v>8957746.4788732398</v>
      </c>
      <c r="G45" s="74">
        <f t="shared" si="4"/>
        <v>9053000</v>
      </c>
      <c r="H45" s="75">
        <f t="shared" si="5"/>
        <v>-1250000</v>
      </c>
      <c r="I45" s="76">
        <f t="shared" si="6"/>
        <v>-1042253.5211267602</v>
      </c>
      <c r="J45" s="77">
        <f t="shared" si="7"/>
        <v>946999.99999999977</v>
      </c>
      <c r="K45" s="78" t="str">
        <f t="shared" si="8"/>
        <v>1. Forward Hedge</v>
      </c>
      <c r="L45" s="59" t="str">
        <f t="shared" si="9"/>
        <v>1. Forward Hedge</v>
      </c>
      <c r="M45" s="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3" x14ac:dyDescent="0.25">
      <c r="A46" s="55"/>
      <c r="B46" s="202"/>
      <c r="C46" s="57">
        <f t="shared" si="10"/>
        <v>2.0499999999999998</v>
      </c>
      <c r="D46" s="72">
        <f t="shared" si="1"/>
        <v>10250000</v>
      </c>
      <c r="E46" s="40">
        <f t="shared" si="2"/>
        <v>8750000</v>
      </c>
      <c r="F46" s="73">
        <f t="shared" si="3"/>
        <v>8957746.4788732398</v>
      </c>
      <c r="G46" s="74">
        <f t="shared" si="4"/>
        <v>9053000.0000000019</v>
      </c>
      <c r="H46" s="75">
        <f t="shared" si="5"/>
        <v>-1499999.9999999991</v>
      </c>
      <c r="I46" s="76">
        <f t="shared" si="6"/>
        <v>-1292253.5211267602</v>
      </c>
      <c r="J46" s="77">
        <f t="shared" si="7"/>
        <v>1196999.9999999988</v>
      </c>
      <c r="K46" s="78" t="str">
        <f t="shared" si="8"/>
        <v>1. Forward Hedge</v>
      </c>
      <c r="L46" s="59" t="str">
        <f t="shared" si="9"/>
        <v>1. Forward Hedge</v>
      </c>
      <c r="M46" s="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3" x14ac:dyDescent="0.25">
      <c r="A47" s="55"/>
      <c r="B47" s="203"/>
      <c r="C47" s="60">
        <f t="shared" si="10"/>
        <v>2.0999999999999996</v>
      </c>
      <c r="D47" s="79">
        <f t="shared" si="1"/>
        <v>10499999.999999998</v>
      </c>
      <c r="E47" s="80">
        <f t="shared" si="2"/>
        <v>8750000</v>
      </c>
      <c r="F47" s="81">
        <f t="shared" si="3"/>
        <v>8957746.4788732398</v>
      </c>
      <c r="G47" s="82">
        <f t="shared" si="4"/>
        <v>9053000</v>
      </c>
      <c r="H47" s="83">
        <f t="shared" si="5"/>
        <v>-1749999.9999999981</v>
      </c>
      <c r="I47" s="84">
        <f t="shared" si="6"/>
        <v>-1542253.5211267583</v>
      </c>
      <c r="J47" s="85">
        <f t="shared" si="7"/>
        <v>1446999.9999999979</v>
      </c>
      <c r="K47" s="86" t="str">
        <f t="shared" si="8"/>
        <v>1. Forward Hedge</v>
      </c>
      <c r="L47" s="61" t="str">
        <f t="shared" si="9"/>
        <v>1. Forward Hedge</v>
      </c>
      <c r="M47" s="9" t="s">
        <v>56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3" x14ac:dyDescent="0.15">
      <c r="A48" s="1"/>
      <c r="B48" s="2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3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3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3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3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3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3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" x14ac:dyDescent="0.1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" x14ac:dyDescent="0.1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" x14ac:dyDescent="0.1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" x14ac:dyDescent="0.1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" x14ac:dyDescent="0.1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" x14ac:dyDescent="0.1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" x14ac:dyDescent="0.1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" x14ac:dyDescent="0.1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" x14ac:dyDescent="0.1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" x14ac:dyDescent="0.1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" x14ac:dyDescent="0.1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" x14ac:dyDescent="0.1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" x14ac:dyDescent="0.1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" x14ac:dyDescent="0.1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" x14ac:dyDescent="0.1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" x14ac:dyDescent="0.1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" x14ac:dyDescent="0.1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" x14ac:dyDescent="0.1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" x14ac:dyDescent="0.1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" x14ac:dyDescent="0.1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" x14ac:dyDescent="0.1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3" x14ac:dyDescent="0.1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23" x14ac:dyDescent="0.15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23" x14ac:dyDescent="0.15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</sheetData>
  <mergeCells count="24">
    <mergeCell ref="B35:B47"/>
    <mergeCell ref="C3:J3"/>
    <mergeCell ref="C5:E5"/>
    <mergeCell ref="C17:J17"/>
    <mergeCell ref="C18:E18"/>
    <mergeCell ref="G18:J18"/>
    <mergeCell ref="C20:J20"/>
    <mergeCell ref="G21:J21"/>
    <mergeCell ref="C33:C34"/>
    <mergeCell ref="D33:G33"/>
    <mergeCell ref="H33:J33"/>
    <mergeCell ref="C21:E21"/>
    <mergeCell ref="C22:E22"/>
    <mergeCell ref="C23:E23"/>
    <mergeCell ref="C24:E24"/>
    <mergeCell ref="C25:E25"/>
    <mergeCell ref="K33:L33"/>
    <mergeCell ref="G22:J22"/>
    <mergeCell ref="G25:J25"/>
    <mergeCell ref="G26:J26"/>
    <mergeCell ref="C28:J28"/>
    <mergeCell ref="C29:E29"/>
    <mergeCell ref="C30:E30"/>
    <mergeCell ref="G31:J31"/>
  </mergeCells>
  <conditionalFormatting sqref="D35:G47">
    <cfRule type="colorScale" priority="1">
      <colorScale>
        <cfvo type="min"/>
        <cfvo type="max"/>
        <color rgb="FFD9EAD3"/>
        <color rgb="FFF4CCC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F1E4-B447-DC45-8A66-84EDE5490291}">
  <dimension ref="A1:D9"/>
  <sheetViews>
    <sheetView zoomScale="130" zoomScaleNormal="130" workbookViewId="0">
      <selection activeCell="G14" sqref="G14"/>
    </sheetView>
  </sheetViews>
  <sheetFormatPr baseColWidth="10" defaultRowHeight="13" x14ac:dyDescent="0.15"/>
  <sheetData>
    <row r="1" spans="1:4" x14ac:dyDescent="0.15">
      <c r="A1" s="213" t="s">
        <v>57</v>
      </c>
      <c r="B1" s="213"/>
      <c r="C1" s="213"/>
      <c r="D1" s="213"/>
    </row>
    <row r="3" spans="1:4" x14ac:dyDescent="0.15">
      <c r="A3" t="s">
        <v>58</v>
      </c>
    </row>
    <row r="4" spans="1:4" x14ac:dyDescent="0.15">
      <c r="A4" t="s">
        <v>59</v>
      </c>
    </row>
    <row r="5" spans="1:4" x14ac:dyDescent="0.15">
      <c r="A5" t="s">
        <v>60</v>
      </c>
    </row>
    <row r="6" spans="1:4" x14ac:dyDescent="0.15">
      <c r="A6" t="s">
        <v>61</v>
      </c>
    </row>
    <row r="7" spans="1:4" x14ac:dyDescent="0.15">
      <c r="A7" t="s">
        <v>62</v>
      </c>
    </row>
    <row r="8" spans="1:4" x14ac:dyDescent="0.15">
      <c r="A8" t="s">
        <v>63</v>
      </c>
    </row>
    <row r="9" spans="1:4" x14ac:dyDescent="0.15">
      <c r="A9" t="s">
        <v>64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Transaction Hedging (Receivable</vt:lpstr>
      <vt:lpstr>Transaction Hedging (Payables)</vt:lpstr>
      <vt:lpstr>Notes &amp; Assumption</vt:lpstr>
      <vt:lpstr>call_price</vt:lpstr>
      <vt:lpstr>call_strike</vt:lpstr>
      <vt:lpstr>contract_notional_value_payable</vt:lpstr>
      <vt:lpstr>current_spot_price_payable</vt:lpstr>
      <vt:lpstr>for_GBPUSD</vt:lpstr>
      <vt:lpstr>forward_price_payable</vt:lpstr>
      <vt:lpstr>future_spot_price_payable</vt:lpstr>
      <vt:lpstr>fv_put_outlay</vt:lpstr>
      <vt:lpstr>gbpusd_1y_scenario</vt:lpstr>
      <vt:lpstr>hedge_no</vt:lpstr>
      <vt:lpstr>named_range</vt:lpstr>
      <vt:lpstr>put_price</vt:lpstr>
      <vt:lpstr>rate_uk_1y_payable</vt:lpstr>
      <vt:lpstr>rate_us_1y_payable</vt:lpstr>
      <vt:lpstr>recievable</vt:lpstr>
      <vt:lpstr>x_put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Sumin Baik</cp:lastModifiedBy>
  <dcterms:created xsi:type="dcterms:W3CDTF">2026-04-18T06:36:09Z</dcterms:created>
  <dcterms:modified xsi:type="dcterms:W3CDTF">2026-04-18T06:37:28Z</dcterms:modified>
</cp:coreProperties>
</file>